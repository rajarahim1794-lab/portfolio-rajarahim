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rajar\Downloads\"/>
    </mc:Choice>
  </mc:AlternateContent>
  <xr:revisionPtr revIDLastSave="0" documentId="13_ncr:1_{02CD4B1B-D1B7-496B-A3BF-00280A8E2D3C}" xr6:coauthVersionLast="47" xr6:coauthVersionMax="47" xr10:uidLastSave="{00000000-0000-0000-0000-000000000000}"/>
  <bookViews>
    <workbookView xWindow="28680" yWindow="-120" windowWidth="29040" windowHeight="15720" tabRatio="840" xr2:uid="{00000000-000D-0000-FFFF-FFFF00000000}"/>
  </bookViews>
  <sheets>
    <sheet name="Panduan" sheetId="1" r:id="rId1"/>
    <sheet name="Penjelasan_Fungsi" sheetId="2" r:id="rId2"/>
    <sheet name="Data_Penjualan" sheetId="3" r:id="rId3"/>
    <sheet name="Master_Produk" sheetId="4" r:id="rId4"/>
    <sheet name="Target_Region" sheetId="5" r:id="rId5"/>
    <sheet name="Data_Karyawan" sheetId="6" r:id="rId6"/>
    <sheet name="Latihan" sheetId="7" r:id="rId7"/>
    <sheet name="Kunci_Jawaban" sheetId="8" r:id="rId8"/>
    <sheet name="Kunci_Kolom_Penjualan" sheetId="9" r:id="rId9"/>
    <sheet name="Kunci_Kolom_Karyawan" sheetId="10" r:id="rId10"/>
    <sheet name="Kunci_Pivot_Chart" sheetId="11" r:id="rId11"/>
  </sheets>
  <definedNames>
    <definedName name="_xlnm._FilterDatabase" localSheetId="5" hidden="1">Data_Karyawan!$A$1:$T$21</definedName>
    <definedName name="_xlnm._FilterDatabase" localSheetId="2" hidden="1">Data_Penjualan!$A$1:$S$61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7" i="7" l="1"/>
  <c r="G6" i="7"/>
  <c r="G5" i="7"/>
  <c r="C48" i="11"/>
  <c r="C47" i="11"/>
  <c r="C46" i="11"/>
  <c r="C45" i="11"/>
  <c r="C44" i="11"/>
  <c r="C49" i="11" s="1"/>
  <c r="B39" i="11"/>
  <c r="B38" i="11"/>
  <c r="B37" i="11"/>
  <c r="B36" i="11"/>
  <c r="B35" i="11"/>
  <c r="B34" i="11"/>
  <c r="B33" i="11"/>
  <c r="B32" i="11"/>
  <c r="B31" i="11"/>
  <c r="B26" i="11"/>
  <c r="B25" i="11"/>
  <c r="B24" i="11"/>
  <c r="B23" i="11"/>
  <c r="B27" i="11" s="1"/>
  <c r="E18" i="11"/>
  <c r="D15" i="11"/>
  <c r="B15" i="11"/>
  <c r="E14" i="11"/>
  <c r="D14" i="11"/>
  <c r="C14" i="11"/>
  <c r="B14" i="11"/>
  <c r="C9" i="11"/>
  <c r="B9" i="11"/>
  <c r="C8" i="11"/>
  <c r="B8" i="11"/>
  <c r="C7" i="11"/>
  <c r="B7" i="11"/>
  <c r="C6" i="11"/>
  <c r="C10" i="11" s="1"/>
  <c r="B6" i="11"/>
  <c r="K21" i="10"/>
  <c r="J21" i="10"/>
  <c r="I21" i="10"/>
  <c r="H21" i="10"/>
  <c r="G21" i="10"/>
  <c r="F21" i="10"/>
  <c r="E21" i="10"/>
  <c r="D21" i="10"/>
  <c r="C21" i="10"/>
  <c r="B21" i="10"/>
  <c r="A21" i="10"/>
  <c r="K20" i="10"/>
  <c r="J20" i="10"/>
  <c r="I20" i="10"/>
  <c r="H20" i="10"/>
  <c r="G20" i="10"/>
  <c r="F20" i="10"/>
  <c r="E20" i="10"/>
  <c r="D20" i="10"/>
  <c r="C20" i="10"/>
  <c r="B20" i="10"/>
  <c r="A20" i="10"/>
  <c r="K19" i="10"/>
  <c r="J19" i="10"/>
  <c r="I19" i="10"/>
  <c r="H19" i="10"/>
  <c r="G19" i="10"/>
  <c r="F19" i="10"/>
  <c r="E19" i="10"/>
  <c r="D19" i="10"/>
  <c r="C19" i="10"/>
  <c r="B19" i="10"/>
  <c r="A19" i="10"/>
  <c r="K18" i="10"/>
  <c r="J18" i="10"/>
  <c r="I18" i="10"/>
  <c r="H18" i="10"/>
  <c r="G18" i="10"/>
  <c r="F18" i="10"/>
  <c r="E18" i="10"/>
  <c r="D18" i="10"/>
  <c r="C18" i="10"/>
  <c r="B18" i="10"/>
  <c r="A18" i="10"/>
  <c r="K17" i="10"/>
  <c r="J17" i="10"/>
  <c r="I17" i="10"/>
  <c r="H17" i="10"/>
  <c r="G17" i="10"/>
  <c r="F17" i="10"/>
  <c r="E17" i="10"/>
  <c r="D17" i="10"/>
  <c r="C17" i="10"/>
  <c r="B17" i="10"/>
  <c r="A17" i="10"/>
  <c r="K16" i="10"/>
  <c r="J16" i="10"/>
  <c r="I16" i="10"/>
  <c r="H16" i="10"/>
  <c r="G16" i="10"/>
  <c r="F16" i="10"/>
  <c r="E16" i="10"/>
  <c r="D16" i="10"/>
  <c r="C16" i="10"/>
  <c r="B16" i="10"/>
  <c r="A16" i="10"/>
  <c r="K15" i="10"/>
  <c r="J15" i="10"/>
  <c r="I15" i="10"/>
  <c r="H15" i="10"/>
  <c r="G15" i="10"/>
  <c r="F15" i="10"/>
  <c r="E15" i="10"/>
  <c r="D15" i="10"/>
  <c r="C15" i="10"/>
  <c r="B15" i="10"/>
  <c r="A15" i="10"/>
  <c r="K14" i="10"/>
  <c r="J14" i="10"/>
  <c r="I14" i="10"/>
  <c r="H14" i="10"/>
  <c r="G14" i="10"/>
  <c r="F14" i="10"/>
  <c r="E14" i="10"/>
  <c r="D14" i="10"/>
  <c r="C14" i="10"/>
  <c r="B14" i="10"/>
  <c r="A14" i="10"/>
  <c r="K13" i="10"/>
  <c r="J13" i="10"/>
  <c r="I13" i="10"/>
  <c r="H13" i="10"/>
  <c r="G13" i="10"/>
  <c r="F13" i="10"/>
  <c r="E13" i="10"/>
  <c r="D13" i="10"/>
  <c r="C13" i="10"/>
  <c r="B13" i="10"/>
  <c r="A13" i="10"/>
  <c r="K12" i="10"/>
  <c r="J12" i="10"/>
  <c r="I12" i="10"/>
  <c r="H12" i="10"/>
  <c r="G12" i="10"/>
  <c r="F12" i="10"/>
  <c r="E12" i="10"/>
  <c r="D12" i="10"/>
  <c r="C12" i="10"/>
  <c r="B12" i="10"/>
  <c r="A12" i="10"/>
  <c r="K11" i="10"/>
  <c r="J11" i="10"/>
  <c r="I11" i="10"/>
  <c r="H11" i="10"/>
  <c r="G11" i="10"/>
  <c r="F11" i="10"/>
  <c r="E11" i="10"/>
  <c r="D11" i="10"/>
  <c r="C11" i="10"/>
  <c r="B11" i="10"/>
  <c r="A11" i="10"/>
  <c r="K10" i="10"/>
  <c r="J10" i="10"/>
  <c r="I10" i="10"/>
  <c r="H10" i="10"/>
  <c r="G10" i="10"/>
  <c r="F10" i="10"/>
  <c r="E10" i="10"/>
  <c r="D10" i="10"/>
  <c r="C10" i="10"/>
  <c r="B10" i="10"/>
  <c r="A10" i="10"/>
  <c r="K9" i="10"/>
  <c r="J9" i="10"/>
  <c r="I9" i="10"/>
  <c r="H9" i="10"/>
  <c r="G9" i="10"/>
  <c r="F9" i="10"/>
  <c r="E9" i="10"/>
  <c r="D9" i="10"/>
  <c r="C9" i="10"/>
  <c r="B9" i="10"/>
  <c r="A9" i="10"/>
  <c r="K8" i="10"/>
  <c r="J8" i="10"/>
  <c r="I8" i="10"/>
  <c r="H8" i="10"/>
  <c r="G8" i="10"/>
  <c r="F8" i="10"/>
  <c r="E8" i="10"/>
  <c r="D8" i="10"/>
  <c r="C8" i="10"/>
  <c r="B8" i="10"/>
  <c r="A8" i="10"/>
  <c r="K7" i="10"/>
  <c r="J7" i="10"/>
  <c r="I7" i="10"/>
  <c r="H7" i="10"/>
  <c r="G7" i="10"/>
  <c r="F7" i="10"/>
  <c r="E7" i="10"/>
  <c r="D7" i="10"/>
  <c r="C7" i="10"/>
  <c r="B7" i="10"/>
  <c r="A7" i="10"/>
  <c r="K6" i="10"/>
  <c r="J6" i="10"/>
  <c r="I6" i="10"/>
  <c r="H6" i="10"/>
  <c r="G6" i="10"/>
  <c r="F6" i="10"/>
  <c r="E6" i="10"/>
  <c r="D6" i="10"/>
  <c r="C6" i="10"/>
  <c r="B6" i="10"/>
  <c r="A6" i="10"/>
  <c r="K5" i="10"/>
  <c r="J5" i="10"/>
  <c r="I5" i="10"/>
  <c r="H5" i="10"/>
  <c r="G5" i="10"/>
  <c r="F5" i="10"/>
  <c r="E5" i="10"/>
  <c r="D5" i="10"/>
  <c r="C5" i="10"/>
  <c r="B5" i="10"/>
  <c r="A5" i="10"/>
  <c r="K4" i="10"/>
  <c r="J4" i="10"/>
  <c r="I4" i="10"/>
  <c r="H4" i="10"/>
  <c r="G4" i="10"/>
  <c r="F4" i="10"/>
  <c r="E4" i="10"/>
  <c r="D4" i="10"/>
  <c r="C4" i="10"/>
  <c r="B4" i="10"/>
  <c r="A4" i="10"/>
  <c r="K3" i="10"/>
  <c r="J3" i="10"/>
  <c r="I3" i="10"/>
  <c r="H3" i="10"/>
  <c r="G3" i="10"/>
  <c r="F3" i="10"/>
  <c r="E3" i="10"/>
  <c r="D3" i="10"/>
  <c r="C3" i="10"/>
  <c r="B3" i="10"/>
  <c r="A3" i="10"/>
  <c r="K2" i="10"/>
  <c r="J2" i="10"/>
  <c r="I2" i="10"/>
  <c r="H2" i="10"/>
  <c r="G2" i="10"/>
  <c r="F2" i="10"/>
  <c r="E2" i="10"/>
  <c r="D2" i="10"/>
  <c r="C2" i="10"/>
  <c r="B2" i="10"/>
  <c r="A2" i="10"/>
  <c r="E61" i="9"/>
  <c r="C61" i="9"/>
  <c r="B61" i="9"/>
  <c r="A61" i="9"/>
  <c r="E60" i="9"/>
  <c r="C60" i="9"/>
  <c r="B60" i="9"/>
  <c r="A60" i="9"/>
  <c r="E59" i="9"/>
  <c r="C59" i="9"/>
  <c r="B59" i="9"/>
  <c r="A59" i="9"/>
  <c r="E58" i="9"/>
  <c r="C58" i="9"/>
  <c r="B58" i="9"/>
  <c r="A58" i="9"/>
  <c r="E57" i="9"/>
  <c r="C57" i="9"/>
  <c r="B57" i="9"/>
  <c r="A57" i="9"/>
  <c r="E56" i="9"/>
  <c r="C56" i="9"/>
  <c r="B56" i="9"/>
  <c r="A56" i="9"/>
  <c r="E55" i="9"/>
  <c r="C55" i="9"/>
  <c r="B55" i="9"/>
  <c r="A55" i="9"/>
  <c r="E54" i="9"/>
  <c r="C54" i="9"/>
  <c r="B54" i="9"/>
  <c r="A54" i="9"/>
  <c r="E53" i="9"/>
  <c r="C53" i="9"/>
  <c r="B53" i="9"/>
  <c r="A53" i="9"/>
  <c r="E52" i="9"/>
  <c r="C52" i="9"/>
  <c r="B52" i="9"/>
  <c r="A52" i="9"/>
  <c r="E51" i="9"/>
  <c r="C51" i="9"/>
  <c r="B51" i="9"/>
  <c r="A51" i="9"/>
  <c r="E50" i="9"/>
  <c r="C50" i="9"/>
  <c r="B50" i="9"/>
  <c r="A50" i="9"/>
  <c r="E49" i="9"/>
  <c r="C49" i="9"/>
  <c r="B49" i="9"/>
  <c r="A49" i="9"/>
  <c r="E48" i="9"/>
  <c r="C48" i="9"/>
  <c r="B48" i="9"/>
  <c r="A48" i="9"/>
  <c r="E47" i="9"/>
  <c r="C47" i="9"/>
  <c r="B47" i="9"/>
  <c r="A47" i="9"/>
  <c r="E46" i="9"/>
  <c r="C46" i="9"/>
  <c r="B46" i="9"/>
  <c r="A46" i="9"/>
  <c r="E45" i="9"/>
  <c r="C45" i="9"/>
  <c r="B45" i="9"/>
  <c r="A45" i="9"/>
  <c r="E44" i="9"/>
  <c r="C44" i="9"/>
  <c r="B44" i="9"/>
  <c r="A44" i="9"/>
  <c r="E43" i="9"/>
  <c r="C43" i="9"/>
  <c r="B43" i="9"/>
  <c r="A43" i="9"/>
  <c r="E42" i="9"/>
  <c r="C42" i="9"/>
  <c r="B42" i="9"/>
  <c r="A42" i="9"/>
  <c r="E41" i="9"/>
  <c r="C41" i="9"/>
  <c r="B41" i="9"/>
  <c r="A41" i="9"/>
  <c r="E40" i="9"/>
  <c r="C40" i="9"/>
  <c r="B40" i="9"/>
  <c r="A40" i="9"/>
  <c r="E39" i="9"/>
  <c r="C39" i="9"/>
  <c r="B39" i="9"/>
  <c r="A39" i="9"/>
  <c r="E38" i="9"/>
  <c r="C38" i="9"/>
  <c r="B38" i="9"/>
  <c r="A38" i="9"/>
  <c r="E37" i="9"/>
  <c r="C37" i="9"/>
  <c r="B37" i="9"/>
  <c r="A37" i="9"/>
  <c r="E36" i="9"/>
  <c r="C36" i="9"/>
  <c r="B36" i="9"/>
  <c r="A36" i="9"/>
  <c r="E35" i="9"/>
  <c r="C35" i="9"/>
  <c r="B35" i="9"/>
  <c r="A35" i="9"/>
  <c r="E34" i="9"/>
  <c r="C34" i="9"/>
  <c r="B34" i="9"/>
  <c r="A34" i="9"/>
  <c r="E33" i="9"/>
  <c r="C33" i="9"/>
  <c r="B33" i="9"/>
  <c r="A33" i="9"/>
  <c r="E32" i="9"/>
  <c r="C32" i="9"/>
  <c r="B32" i="9"/>
  <c r="A32" i="9"/>
  <c r="E31" i="9"/>
  <c r="C31" i="9"/>
  <c r="B31" i="9"/>
  <c r="A31" i="9"/>
  <c r="E30" i="9"/>
  <c r="C30" i="9"/>
  <c r="B30" i="9"/>
  <c r="A30" i="9"/>
  <c r="E29" i="9"/>
  <c r="C29" i="9"/>
  <c r="B29" i="9"/>
  <c r="A29" i="9"/>
  <c r="E28" i="9"/>
  <c r="C28" i="9"/>
  <c r="B28" i="9"/>
  <c r="A28" i="9"/>
  <c r="E27" i="9"/>
  <c r="C27" i="9"/>
  <c r="B27" i="9"/>
  <c r="A27" i="9"/>
  <c r="E26" i="9"/>
  <c r="C26" i="9"/>
  <c r="B26" i="9"/>
  <c r="A26" i="9"/>
  <c r="E25" i="9"/>
  <c r="C25" i="9"/>
  <c r="B25" i="9"/>
  <c r="A25" i="9"/>
  <c r="E24" i="9"/>
  <c r="C24" i="9"/>
  <c r="B24" i="9"/>
  <c r="A24" i="9"/>
  <c r="E23" i="9"/>
  <c r="C23" i="9"/>
  <c r="B23" i="9"/>
  <c r="A23" i="9"/>
  <c r="E22" i="9"/>
  <c r="C22" i="9"/>
  <c r="B22" i="9"/>
  <c r="A22" i="9"/>
  <c r="E21" i="9"/>
  <c r="C21" i="9"/>
  <c r="B21" i="9"/>
  <c r="A21" i="9"/>
  <c r="E20" i="9"/>
  <c r="C20" i="9"/>
  <c r="B20" i="9"/>
  <c r="A20" i="9"/>
  <c r="E19" i="9"/>
  <c r="C19" i="9"/>
  <c r="B19" i="9"/>
  <c r="A19" i="9"/>
  <c r="E18" i="9"/>
  <c r="C18" i="9"/>
  <c r="B18" i="9"/>
  <c r="A18" i="9"/>
  <c r="E17" i="9"/>
  <c r="C17" i="9"/>
  <c r="B17" i="9"/>
  <c r="A17" i="9"/>
  <c r="E16" i="9"/>
  <c r="C16" i="9"/>
  <c r="B16" i="9"/>
  <c r="A16" i="9"/>
  <c r="E15" i="9"/>
  <c r="C15" i="9"/>
  <c r="B15" i="9"/>
  <c r="A15" i="9"/>
  <c r="E14" i="9"/>
  <c r="C14" i="9"/>
  <c r="B14" i="9"/>
  <c r="A14" i="9"/>
  <c r="E13" i="9"/>
  <c r="C13" i="9"/>
  <c r="B13" i="9"/>
  <c r="A13" i="9"/>
  <c r="E12" i="9"/>
  <c r="C12" i="9"/>
  <c r="B12" i="9"/>
  <c r="A12" i="9"/>
  <c r="E11" i="9"/>
  <c r="C11" i="9"/>
  <c r="B11" i="9"/>
  <c r="A11" i="9"/>
  <c r="E10" i="9"/>
  <c r="C10" i="9"/>
  <c r="B10" i="9"/>
  <c r="A10" i="9"/>
  <c r="E9" i="9"/>
  <c r="C9" i="9"/>
  <c r="B9" i="9"/>
  <c r="A9" i="9"/>
  <c r="E8" i="9"/>
  <c r="C8" i="9"/>
  <c r="B8" i="9"/>
  <c r="A8" i="9"/>
  <c r="E7" i="9"/>
  <c r="C7" i="9"/>
  <c r="B7" i="9"/>
  <c r="A7" i="9"/>
  <c r="E6" i="9"/>
  <c r="C6" i="9"/>
  <c r="B6" i="9"/>
  <c r="A6" i="9"/>
  <c r="E5" i="9"/>
  <c r="C5" i="9"/>
  <c r="B5" i="9"/>
  <c r="A5" i="9"/>
  <c r="E4" i="9"/>
  <c r="C4" i="9"/>
  <c r="B4" i="9"/>
  <c r="A4" i="9"/>
  <c r="E3" i="9"/>
  <c r="C3" i="9"/>
  <c r="B3" i="9"/>
  <c r="A3" i="9"/>
  <c r="E2" i="9"/>
  <c r="C2" i="9"/>
  <c r="B2" i="9"/>
  <c r="A2" i="9"/>
  <c r="E44" i="8"/>
  <c r="E43" i="8"/>
  <c r="E42" i="8"/>
  <c r="E40" i="8"/>
  <c r="E39" i="8"/>
  <c r="E38" i="8"/>
  <c r="E37" i="8"/>
  <c r="E36" i="8"/>
  <c r="E35" i="8"/>
  <c r="E34" i="8"/>
  <c r="E33" i="8"/>
  <c r="E29" i="8"/>
  <c r="E28" i="8"/>
  <c r="E27" i="8"/>
  <c r="E26" i="8"/>
  <c r="E25" i="8"/>
  <c r="E24" i="8"/>
  <c r="E23" i="8"/>
  <c r="E22" i="8"/>
  <c r="E21" i="8"/>
  <c r="E20" i="8"/>
  <c r="E19" i="8"/>
  <c r="E18" i="8"/>
  <c r="E15" i="8"/>
  <c r="E13" i="8"/>
  <c r="E12" i="8"/>
  <c r="E11" i="8"/>
  <c r="E9" i="8"/>
  <c r="E6" i="8"/>
  <c r="M61" i="3"/>
  <c r="M60" i="3"/>
  <c r="M59" i="3"/>
  <c r="M58" i="3"/>
  <c r="M57" i="3"/>
  <c r="M56" i="3"/>
  <c r="M55" i="3"/>
  <c r="M54" i="3"/>
  <c r="M53" i="3"/>
  <c r="M52" i="3"/>
  <c r="M51" i="3"/>
  <c r="M50" i="3"/>
  <c r="M49" i="3"/>
  <c r="M48" i="3"/>
  <c r="M47" i="3"/>
  <c r="M46" i="3"/>
  <c r="M45" i="3"/>
  <c r="M44" i="3"/>
  <c r="M43" i="3"/>
  <c r="M42" i="3"/>
  <c r="M41" i="3"/>
  <c r="M40" i="3"/>
  <c r="M39" i="3"/>
  <c r="M38" i="3"/>
  <c r="M37" i="3"/>
  <c r="M36" i="3"/>
  <c r="M35" i="3"/>
  <c r="M34" i="3"/>
  <c r="M33" i="3"/>
  <c r="M32" i="3"/>
  <c r="M31" i="3"/>
  <c r="M30" i="3"/>
  <c r="M29" i="3"/>
  <c r="M28" i="3"/>
  <c r="M27" i="3"/>
  <c r="M26" i="3"/>
  <c r="M25" i="3"/>
  <c r="M24" i="3"/>
  <c r="M23" i="3"/>
  <c r="M22" i="3"/>
  <c r="M21" i="3"/>
  <c r="M20" i="3"/>
  <c r="M19" i="3"/>
  <c r="M18" i="3"/>
  <c r="M17" i="3"/>
  <c r="M16" i="3"/>
  <c r="M15" i="3"/>
  <c r="M14" i="3"/>
  <c r="M13" i="3"/>
  <c r="M12" i="3"/>
  <c r="M11" i="3"/>
  <c r="M10" i="3"/>
  <c r="M9" i="3"/>
  <c r="M8" i="3"/>
  <c r="M7" i="3"/>
  <c r="M6" i="3"/>
  <c r="M5" i="3"/>
  <c r="M4" i="3"/>
  <c r="M3" i="3"/>
  <c r="M2" i="3"/>
  <c r="H25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D39" i="11" l="1"/>
  <c r="C39" i="11"/>
  <c r="D38" i="11"/>
  <c r="C38" i="11"/>
  <c r="D37" i="11"/>
  <c r="C37" i="11"/>
  <c r="D36" i="11"/>
  <c r="C36" i="11"/>
  <c r="D35" i="11"/>
  <c r="C35" i="11"/>
  <c r="D34" i="11"/>
  <c r="C34" i="11"/>
  <c r="D33" i="11"/>
  <c r="C33" i="11"/>
  <c r="D32" i="11"/>
  <c r="C32" i="11"/>
  <c r="C31" i="11"/>
  <c r="D31" i="11"/>
  <c r="D40" i="11" s="1"/>
  <c r="F14" i="11"/>
  <c r="E46" i="8"/>
  <c r="B10" i="11"/>
  <c r="D6" i="11" s="1"/>
  <c r="D61" i="9"/>
  <c r="F61" i="9"/>
  <c r="G61" i="9"/>
  <c r="G60" i="9"/>
  <c r="F60" i="9"/>
  <c r="D60" i="9"/>
  <c r="D59" i="9"/>
  <c r="G59" i="9"/>
  <c r="F59" i="9"/>
  <c r="F58" i="9"/>
  <c r="G58" i="9"/>
  <c r="D58" i="9"/>
  <c r="D57" i="9"/>
  <c r="F57" i="9"/>
  <c r="G57" i="9"/>
  <c r="F56" i="9"/>
  <c r="G56" i="9"/>
  <c r="D56" i="9"/>
  <c r="G55" i="9"/>
  <c r="F55" i="9"/>
  <c r="D55" i="9"/>
  <c r="D54" i="9"/>
  <c r="G54" i="9"/>
  <c r="F54" i="9"/>
  <c r="G53" i="9"/>
  <c r="F53" i="9"/>
  <c r="D53" i="9"/>
  <c r="G52" i="9"/>
  <c r="F52" i="9"/>
  <c r="D52" i="9"/>
  <c r="E15" i="11"/>
  <c r="G51" i="9"/>
  <c r="F51" i="9"/>
  <c r="D51" i="9"/>
  <c r="D50" i="9"/>
  <c r="F50" i="9"/>
  <c r="G50" i="9"/>
  <c r="D49" i="9"/>
  <c r="F49" i="9"/>
  <c r="G49" i="9"/>
  <c r="G48" i="9"/>
  <c r="F48" i="9"/>
  <c r="D48" i="9"/>
  <c r="G47" i="9"/>
  <c r="F47" i="9"/>
  <c r="D47" i="9"/>
  <c r="F46" i="9"/>
  <c r="D46" i="9"/>
  <c r="G46" i="9"/>
  <c r="G45" i="9"/>
  <c r="F45" i="9"/>
  <c r="D45" i="9"/>
  <c r="G44" i="9"/>
  <c r="D44" i="9"/>
  <c r="F44" i="9"/>
  <c r="D43" i="9"/>
  <c r="F43" i="9"/>
  <c r="G43" i="9"/>
  <c r="D42" i="9"/>
  <c r="G42" i="9"/>
  <c r="F42" i="9"/>
  <c r="F41" i="9"/>
  <c r="G41" i="9"/>
  <c r="D41" i="9"/>
  <c r="G40" i="9"/>
  <c r="F40" i="9"/>
  <c r="D40" i="9"/>
  <c r="F39" i="9"/>
  <c r="E17" i="11"/>
  <c r="D39" i="9"/>
  <c r="G39" i="9"/>
  <c r="G38" i="9"/>
  <c r="D38" i="9"/>
  <c r="F38" i="9"/>
  <c r="D18" i="11"/>
  <c r="D37" i="9"/>
  <c r="F37" i="9"/>
  <c r="G37" i="9"/>
  <c r="D36" i="9"/>
  <c r="G36" i="9"/>
  <c r="F36" i="9"/>
  <c r="D35" i="9"/>
  <c r="F35" i="9"/>
  <c r="G35" i="9"/>
  <c r="D34" i="9"/>
  <c r="F34" i="9"/>
  <c r="G34" i="9"/>
  <c r="F33" i="9"/>
  <c r="G33" i="9"/>
  <c r="D33" i="9"/>
  <c r="D32" i="9"/>
  <c r="G32" i="9"/>
  <c r="F32" i="9"/>
  <c r="G31" i="9"/>
  <c r="F31" i="9"/>
  <c r="D31" i="9"/>
  <c r="D30" i="9"/>
  <c r="G30" i="9"/>
  <c r="F30" i="9"/>
  <c r="D29" i="9"/>
  <c r="F29" i="9"/>
  <c r="G29" i="9"/>
  <c r="F28" i="9"/>
  <c r="D28" i="9"/>
  <c r="G28" i="9"/>
  <c r="D27" i="9"/>
  <c r="G27" i="9"/>
  <c r="F27" i="9"/>
  <c r="G26" i="9"/>
  <c r="F26" i="9"/>
  <c r="D26" i="9"/>
  <c r="D25" i="9"/>
  <c r="G25" i="9"/>
  <c r="F25" i="9"/>
  <c r="D24" i="9"/>
  <c r="G24" i="9"/>
  <c r="F24" i="9"/>
  <c r="F23" i="9"/>
  <c r="D23" i="9"/>
  <c r="G23" i="9"/>
  <c r="G22" i="9"/>
  <c r="D22" i="9"/>
  <c r="F22" i="9"/>
  <c r="G21" i="9"/>
  <c r="D21" i="9"/>
  <c r="F21" i="9"/>
  <c r="D20" i="9"/>
  <c r="C15" i="11"/>
  <c r="G20" i="9"/>
  <c r="F20" i="9"/>
  <c r="F19" i="9"/>
  <c r="D19" i="9"/>
  <c r="G19" i="9"/>
  <c r="G18" i="9"/>
  <c r="F18" i="9"/>
  <c r="B17" i="11"/>
  <c r="D18" i="9"/>
  <c r="E52" i="8"/>
  <c r="F17" i="9"/>
  <c r="G17" i="9"/>
  <c r="D17" i="9"/>
  <c r="G16" i="9"/>
  <c r="F16" i="9"/>
  <c r="D16" i="9"/>
  <c r="E50" i="8"/>
  <c r="G15" i="9"/>
  <c r="F15" i="9"/>
  <c r="D15" i="9"/>
  <c r="F14" i="9"/>
  <c r="G14" i="9"/>
  <c r="D14" i="9"/>
  <c r="C18" i="11"/>
  <c r="G13" i="9"/>
  <c r="F13" i="9"/>
  <c r="D13" i="9"/>
  <c r="C16" i="11"/>
  <c r="G12" i="9"/>
  <c r="B45" i="11"/>
  <c r="D45" i="11" s="1"/>
  <c r="F12" i="9"/>
  <c r="D12" i="9"/>
  <c r="G11" i="9"/>
  <c r="D11" i="9"/>
  <c r="F11" i="9"/>
  <c r="D10" i="9"/>
  <c r="F10" i="9"/>
  <c r="G10" i="9"/>
  <c r="G9" i="9"/>
  <c r="D9" i="9"/>
  <c r="F9" i="9"/>
  <c r="C26" i="11"/>
  <c r="D26" i="11" s="1"/>
  <c r="D17" i="11"/>
  <c r="F8" i="9"/>
  <c r="B16" i="11"/>
  <c r="D8" i="9"/>
  <c r="G8" i="9"/>
  <c r="F7" i="9"/>
  <c r="D16" i="11"/>
  <c r="D19" i="11" s="1"/>
  <c r="D7" i="9"/>
  <c r="G7" i="9"/>
  <c r="F6" i="9"/>
  <c r="D6" i="9"/>
  <c r="G6" i="9"/>
  <c r="E16" i="11"/>
  <c r="B46" i="11"/>
  <c r="D46" i="11" s="1"/>
  <c r="F5" i="9"/>
  <c r="G5" i="9"/>
  <c r="D5" i="9"/>
  <c r="G4" i="9"/>
  <c r="E45" i="8"/>
  <c r="B44" i="11"/>
  <c r="F4" i="9"/>
  <c r="C23" i="11"/>
  <c r="E10" i="8"/>
  <c r="D4" i="9"/>
  <c r="E7" i="8"/>
  <c r="B18" i="11"/>
  <c r="F18" i="11" s="1"/>
  <c r="C24" i="11"/>
  <c r="D24" i="11" s="1"/>
  <c r="G3" i="9"/>
  <c r="B48" i="11"/>
  <c r="D48" i="11" s="1"/>
  <c r="D3" i="9"/>
  <c r="F3" i="9"/>
  <c r="E14" i="8"/>
  <c r="B47" i="11"/>
  <c r="D47" i="11" s="1"/>
  <c r="E32" i="8"/>
  <c r="E16" i="8"/>
  <c r="E41" i="8"/>
  <c r="C25" i="11"/>
  <c r="D25" i="11" s="1"/>
  <c r="F2" i="9"/>
  <c r="G2" i="9"/>
  <c r="E5" i="8"/>
  <c r="D2" i="9"/>
  <c r="E31" i="8"/>
  <c r="E17" i="8"/>
  <c r="E8" i="8"/>
  <c r="C17" i="11"/>
  <c r="E30" i="8"/>
  <c r="B19" i="11" l="1"/>
  <c r="C40" i="11"/>
  <c r="E47" i="8"/>
  <c r="D7" i="11"/>
  <c r="D9" i="11"/>
  <c r="D8" i="11"/>
  <c r="E49" i="8"/>
  <c r="F15" i="11"/>
  <c r="C19" i="11"/>
  <c r="D44" i="11"/>
  <c r="B49" i="11"/>
  <c r="D23" i="11"/>
  <c r="C27" i="11"/>
  <c r="D27" i="11" s="1"/>
  <c r="E51" i="8"/>
  <c r="E19" i="11"/>
  <c r="F17" i="11"/>
  <c r="F16" i="11"/>
  <c r="D49" i="11" l="1"/>
  <c r="E48" i="8"/>
  <c r="D10" i="11"/>
  <c r="F19" i="11"/>
</calcChain>
</file>

<file path=xl/sharedStrings.xml><?xml version="1.0" encoding="utf-8"?>
<sst xmlns="http://schemas.openxmlformats.org/spreadsheetml/2006/main" count="1457" uniqueCount="792">
  <si>
    <t>Belajar Excel untuk Data Analyst</t>
  </si>
  <si>
    <t>Paket belajar lengkap: dataset contoh, penjelasan fungsi, 48 latihan bertingkat, dan kunci jawaban dengan rumus hidup. Disusun dari peta belajar: IF, DATEDIF, VLOOKUP / HLOOKUP, REPLACE / SUBSTITUTE, UPPER / LOWER / PROPER, CONCAT, TRIM, AVERAGE, COUNT, SUM, MIN / MAX, Charting, dan Pivot Tables.</t>
  </si>
  <si>
    <t>1. Isi Workbook</t>
  </si>
  <si>
    <t>Sheet (klik untuk membuka)</t>
  </si>
  <si>
    <t>Isi</t>
  </si>
  <si>
    <t>Dipakai untuk</t>
  </si>
  <si>
    <t>Penjelasan_Fungsi</t>
  </si>
  <si>
    <t>21 entri: sintaks, argumen, contoh rumus hidup, tips dan kesalahan umum</t>
  </si>
  <si>
    <t>Dibaca sebelum mengerjakan latihan</t>
  </si>
  <si>
    <t>Data_Penjualan</t>
  </si>
  <si>
    <t>60 transaksi penjualan (Jan - Sep 2026) + 6 kolom bantu kosong (kuning)</t>
  </si>
  <si>
    <t>SUM, AVERAGE, COUNT, MIN/MAX, IF, DATEDIF, VLOOKUP, Chart, Pivot</t>
  </si>
  <si>
    <t>Master_Produk</t>
  </si>
  <si>
    <t>10 produk - tabel referensi VERTIKAL</t>
  </si>
  <si>
    <t>VLOOKUP</t>
  </si>
  <si>
    <t>Target_Region</t>
  </si>
  <si>
    <t>Target, manajer, cabang per region - tabel referensi HORIZONTAL</t>
  </si>
  <si>
    <t>HLOOKUP</t>
  </si>
  <si>
    <t>Data_Karyawan</t>
  </si>
  <si>
    <t>20 karyawan, data mentah sengaja 'kotor' + 10 kolom bantu kosong (kuning)</t>
  </si>
  <si>
    <t>TRIM, UPPER/LOWER/PROPER, CONCAT, REPLACE/SUBSTITUTE, DATEDIF</t>
  </si>
  <si>
    <t>Latihan</t>
  </si>
  <si>
    <t>48 soal (Mudah / Sedang / Sulit) + kolom Jawaban Anda</t>
  </si>
  <si>
    <t>Tempat mengerjakan</t>
  </si>
  <si>
    <t>Kunci_Jawaban</t>
  </si>
  <si>
    <t>Rumus jawaban + hasil (dihitung dari data) + penjelasan</t>
  </si>
  <si>
    <t>Mencocokkan jawaban</t>
  </si>
  <si>
    <t>Kunci_Kolom_Penjualan</t>
  </si>
  <si>
    <t>Hasil lengkap kolom bantu Data_Penjualan (60 baris)</t>
  </si>
  <si>
    <t>Membandingkan kolom bantu Anda baris demi baris</t>
  </si>
  <si>
    <t>Kunci_Kolom_Karyawan</t>
  </si>
  <si>
    <t>Hasil lengkap kolom bantu Data_Karyawan (20 baris)</t>
  </si>
  <si>
    <t>Kunci_Pivot_Chart</t>
  </si>
  <si>
    <t>Tabel pembanding PivotTable + 3 grafik contoh</t>
  </si>
  <si>
    <t>Mengecek hasil Pivot dan Charting</t>
  </si>
  <si>
    <t>2. Roadmap Belajar (dari dasar ke lanjutan)</t>
  </si>
  <si>
    <t>Tahap</t>
  </si>
  <si>
    <t>Fungsi / Topik</t>
  </si>
  <si>
    <t>Dataset</t>
  </si>
  <si>
    <t>Target kemampuan</t>
  </si>
  <si>
    <t>Estimasi*</t>
  </si>
  <si>
    <t>No. Latihan</t>
  </si>
  <si>
    <t>Tahap 1 - Statistik Dasar</t>
  </si>
  <si>
    <t>SUM, AVERAGE, COUNT, MIN / MAX</t>
  </si>
  <si>
    <t>Meringkas data: total, rata-rata, jumlah, nilai ekstrem, termasuk versi bersyarat (SUMIFS, COUNTIFS, dst).</t>
  </si>
  <si>
    <t>2-3 jam</t>
  </si>
  <si>
    <t>1 - 13</t>
  </si>
  <si>
    <t>Tahap 2 - Pembersihan Teks</t>
  </si>
  <si>
    <t>TRIM, UPPER / LOWER / PROPER, CONCAT, REPLACE / SUBSTITUTE</t>
  </si>
  <si>
    <t>Merapikan data mentah: spasi, huruf besar-kecil, gabung kolom, ganti / samarkan teks.</t>
  </si>
  <si>
    <t>3-4 jam</t>
  </si>
  <si>
    <t>14 - 25</t>
  </si>
  <si>
    <t>Tahap 3 - Logika &amp; Tanggal</t>
  </si>
  <si>
    <t>IF, DATEDIF</t>
  </si>
  <si>
    <t>Data_Penjualan, Data_Karyawan</t>
  </si>
  <si>
    <t>Membuat klasifikasi otomatis dan menghitung usia, masa kerja, lama proses.</t>
  </si>
  <si>
    <t>26 - 34</t>
  </si>
  <si>
    <t>Tahap 4 - Lookup</t>
  </si>
  <si>
    <t>VLOOKUP, HLOOKUP</t>
  </si>
  <si>
    <t>Master_Produk, Target_Region</t>
  </si>
  <si>
    <t>Menggabungkan beberapa tabel: tarik data referensi ke tabel transaksi.</t>
  </si>
  <si>
    <t>3 jam</t>
  </si>
  <si>
    <t>35 - 41</t>
  </si>
  <si>
    <t>Tahap 5 - Visualisasi</t>
  </si>
  <si>
    <t>Charting</t>
  </si>
  <si>
    <t>Memilih jenis grafik yang tepat dan membuat grafik yang mudah dibaca.</t>
  </si>
  <si>
    <t>2 jam</t>
  </si>
  <si>
    <t>42 - 44</t>
  </si>
  <si>
    <t>Tahap 6 - Analisis Ringkas</t>
  </si>
  <si>
    <t>Pivot Tables</t>
  </si>
  <si>
    <t>Meringkas data besar secara interaktif tanpa rumus: grouping, slicer, sorting.</t>
  </si>
  <si>
    <t>45 - 48</t>
  </si>
  <si>
    <t>*Estimasi waktu hanya perkiraan untuk pemula; sesuaikan dengan kecepatan belajar Anda.</t>
  </si>
  <si>
    <t>3. Cara Belajar yang Disarankan</t>
  </si>
  <si>
    <t>Langkah 1 - Baca entri fungsi di sheet Penjelasan_Fungsi; ubah-ubah argumen pada contoh untuk melihat hasilnya.</t>
  </si>
  <si>
    <t>Langkah 2 - Buka sheet data, lalu kerjakan soal pada sheet Latihan secara berurutan. Tulis rumus di kolom kuning (kolom bantu) atau di sel kosong.</t>
  </si>
  <si>
    <t>Langkah 3 - Salin rumus Anda ke kolom 'Jawaban Anda' pada sheet Latihan sebagai catatan.</t>
  </si>
  <si>
    <t>Langkah 4 - Cocokkan dengan sheet Kunci_Jawaban. Jika berbeda, cek: referensi sel, tanda $ (absolut), tanda kutip, dan urutan argumen.</t>
  </si>
  <si>
    <t>Langkah 5 - Untuk soal per-baris, bandingkan seluruh kolom bantu Anda dengan sheet Kunci_Kolom_Penjualan / Kunci_Kolom_Karyawan.</t>
  </si>
  <si>
    <t>Langkah 6 - Ulangi tanpa melihat kunci, lalu coba modifikasi soal (ganti kategori, region, atau nilai ambang) untuk menguji pemahaman.</t>
  </si>
  <si>
    <t>4. Legenda Warna</t>
  </si>
  <si>
    <t>Contoh</t>
  </si>
  <si>
    <t>Header biru tua = kolom data mentah</t>
  </si>
  <si>
    <t>Header hijau = kolom sudah berisi rumus (contoh: Total_Penjualan)</t>
  </si>
  <si>
    <t>Header emas + sel kuning muda = kolom bantu untuk latihan (sengaja kosong)</t>
  </si>
  <si>
    <t>Sel kuning + huruf biru = input yang boleh diubah (Tanggal_Acuan)</t>
  </si>
  <si>
    <t>Header merah = sheet kunci jawaban</t>
  </si>
  <si>
    <t>5. Catatan Penting</t>
  </si>
  <si>
    <t>- Pemisah argumen: rumus ditulis dengan koma (,). Jika pengaturan regional Excel Anda menolak rumus, ganti koma dengan titik koma (;). Nama fungsi tetap dalam bahasa Inggris.</t>
  </si>
  <si>
    <t>- CONCAT, MAXIFS, dan MINIFS membutuhkan Excel 2019 / Microsoft 365. Pada Excel lama gunakan operator &amp; atau CONCATENATE (serta rumus array untuk MAXIFS).</t>
  </si>
  <si>
    <t>- DATEDIF tidak muncul di daftar saran fungsi, tetapi tetap bisa diketik manual. Latihan memakai Tanggal_Acuan tetap (sel V2 di Data_Karyawan) = 26/10/2026 agar hasil konsisten, bukan TODAY().</t>
  </si>
  <si>
    <t>- PivotTable dan grafik harus dibuat manual oleh Anda (itu bagian latihannya). Sheet Kunci_Pivot_Chart berisi tabel pembanding berbasis SUMIFS/COUNTIFS dan grafik contoh.</t>
  </si>
  <si>
    <t>- Seluruh data (penjualan, produk, target, karyawan) adalah data fiktif buatan untuk belajar, termasuk target dan nama manajer region sebagai asumsi.</t>
  </si>
  <si>
    <t>- Hindari mengurutkan atau menghapus baris pada sheet data sebelum menyelesaikan latihan, karena sheet kunci dan nomor baris soal mengacu pada urutan data awal.</t>
  </si>
  <si>
    <t>Penjelasan Fungsi Excel untuk Data Analyst</t>
  </si>
  <si>
    <t>Kolom 'Hasil Contoh' dihitung langsung dari dataset di workbook ini (rumus hidup). Urutan dari fungsi dasar ke lanjutan.</t>
  </si>
  <si>
    <t>No</t>
  </si>
  <si>
    <t>Fungsi</t>
  </si>
  <si>
    <t>Level</t>
  </si>
  <si>
    <t>Kegunaan untuk Data Analyst</t>
  </si>
  <si>
    <t>Sintaks</t>
  </si>
  <si>
    <t>Penjelasan Argumen</t>
  </si>
  <si>
    <t>Contoh Rumus (pada dataset)</t>
  </si>
  <si>
    <t>Hasil Contoh</t>
  </si>
  <si>
    <t>Tips &amp; Kesalahan Umum</t>
  </si>
  <si>
    <t>SUM</t>
  </si>
  <si>
    <t>Dasar</t>
  </si>
  <si>
    <t>Menghitung total: omzet, biaya, jumlah unit. Dasar dari hampir semua laporan.</t>
  </si>
  <si>
    <t>=SUM(angka1, [angka2], ...)</t>
  </si>
  <si>
    <t>angka1, angka2, ... = sel, rentang (mis. H2:H61), atau angka langsung. Bisa sampai 255 argumen.</t>
  </si>
  <si>
    <t>=SUM(Data_Penjualan!$H$2:$H$61)</t>
  </si>
  <si>
    <t>Teks dan sel kosong diabaikan. Jika hasil 0, cek apakah angka tersimpan sebagai teks (rata kiri, segitiga hijau di pojok sel). Shortcut AutoSum: Alt + =</t>
  </si>
  <si>
    <t>SUMIF / SUMIFS</t>
  </si>
  <si>
    <t>Menjumlahkan hanya baris yang memenuhi syarat: omzet per region, per kategori, per sales.</t>
  </si>
  <si>
    <t>=SUMIF(rentang_kriteria, kriteria, [rentang_jumlah])
=SUMIFS(rentang_jumlah, rentang_kriteria1, kriteria1, ...)</t>
  </si>
  <si>
    <t>kriteria bisa teks ("Jakarta"), angka, atau operator ("&gt;=1000000"). SUMIFS boleh memakai banyak syarat sekaligus (logika AND).</t>
  </si>
  <si>
    <t>=SUMIF(Data_Penjualan!$F$2:$F$61,"Furniture",Data_Penjualan!$M$2:$M$61)</t>
  </si>
  <si>
    <t>Urutan argumen SUMIF dan SUMIFS BERBEDA (kesalahan paling umum). Semua rentang harus berukuran sama. Operator + sel ditulis: "&gt;="&amp;A1</t>
  </si>
  <si>
    <t>AVERAGE</t>
  </si>
  <si>
    <t>Rata-rata: nilai transaksi rata-rata, rata-rata gaji, rata-rata lama pengiriman.</t>
  </si>
  <si>
    <t>=AVERAGE(angka1, [angka2], ...)
=AVERAGEIF(rentang_kriteria, kriteria, [rentang_rata2])
=AVERAGEIFS(rentang_rata2, rentang_kriteria1, kriteria1, ...)</t>
  </si>
  <si>
    <t>Sel kosong dan teks diabaikan; sel berisi angka 0 tetap dihitung.</t>
  </si>
  <si>
    <t>=AVERAGE(Data_Penjualan!$H$2:$H$61)</t>
  </si>
  <si>
    <t>Rata-rata mudah terdistorsi outlier - bandingkan dengan MEDIAN. AVERAGEIF tanpa baris yang cocok menghasilkan error DIV/0 - bungkus dengan IFERROR.</t>
  </si>
  <si>
    <t>COUNT / COUNTA / COUNTBLANK</t>
  </si>
  <si>
    <t>Menghitung jumlah data: jumlah transaksi, pelanggan, dan data kosong (cek kualitas data).</t>
  </si>
  <si>
    <t>=COUNT(nilai1, ...)
=COUNTA(nilai1, ...)
=COUNTBLANK(rentang)</t>
  </si>
  <si>
    <t>COUNT = hanya angka (termasuk tanggal). COUNTA = semua sel tidak kosong (teks dan angka). COUNTBLANK = sel kosong.</t>
  </si>
  <si>
    <t>=COUNTA(Data_Penjualan!$A$2:$A$61)</t>
  </si>
  <si>
    <t>Gunakan COUNTA pada kolom ID untuk menghitung jumlah baris data. COUNT mengabaikan teks, sehingga cocok untuk mengecek apakah kolom tanggal terisi.</t>
  </si>
  <si>
    <t>COUNTIF / COUNTIFS</t>
  </si>
  <si>
    <t>Menghitung baris yang memenuhi syarat: distribusi status, jumlah order besar, dll.</t>
  </si>
  <si>
    <t>=COUNTIF(rentang, kriteria)
=COUNTIFS(rentang1, kriteria1, rentang2, kriteria2, ...)</t>
  </si>
  <si>
    <t>kriteria sama seperti SUMIF: teks, angka, atau operator ("&gt;=5000000"). Wildcard: * (banyak karakter) dan ? (satu karakter).</t>
  </si>
  <si>
    <t>=COUNTIF(Data_Penjualan!$K$2:$K$61,"Cicilan")</t>
  </si>
  <si>
    <t>Spasi tersembunyi di data membuat COUNTIF tidak cocok - bersihkan dengan TRIM dulu. Contoh wildcard: "Toko*" = semua yang diawali Toko.</t>
  </si>
  <si>
    <t>MIN</t>
  </si>
  <si>
    <t>Nilai terkecil: harga terendah, gaji terendah, tanggal paling awal (tanggal adalah angka serial).</t>
  </si>
  <si>
    <t>=MIN(angka1, [angka2], ...)
=MINIFS(rentang_min, rentang_kriteria, kriteria)</t>
  </si>
  <si>
    <t>Sama seperti SUM: menerima sel, rentang, atau angka. Teks dan sel kosong diabaikan.</t>
  </si>
  <si>
    <t>=MIN(Data_Karyawan!$J$2:$J$21)</t>
  </si>
  <si>
    <t>Berguna untuk mendeteksi data aneh (mis. harga negatif atau 0). Untuk hasil berupa tanggal, ubah format sel menjadi Date. MINIFS butuh Excel 2019 / 365.</t>
  </si>
  <si>
    <t>MAX</t>
  </si>
  <si>
    <t>Nilai terbesar: omzet tertinggi, gaji tertinggi, tanggal paling akhir.</t>
  </si>
  <si>
    <t>=MAX(angka1, [angka2], ...)
=MAXIFS(rentang_max, rentang_kriteria, kriteria)</t>
  </si>
  <si>
    <t>Sama seperti MIN. MAXIFS menambahkan syarat (Excel 2019 / 365).</t>
  </si>
  <si>
    <t>=MAX(Data_Karyawan!$J$2:$J$21)</t>
  </si>
  <si>
    <t>MAX + MATCH + INDEX = mengambil NAMA pemilik nilai tertinggi. Selisih MAX - MIN = rentang (range) data.</t>
  </si>
  <si>
    <t>TRIM</t>
  </si>
  <si>
    <t>Menghapus spasi berlebih di awal, akhir, dan di antara kata (menyisakan satu spasi). Langkah pertama data cleaning.</t>
  </si>
  <si>
    <t>=TRIM(teks)</t>
  </si>
  <si>
    <t>teks = sel atau teks yang akan dirapikan.</t>
  </si>
  <si>
    <t>=TRIM(Data_Karyawan!D2)</t>
  </si>
  <si>
    <t>TRIM tidak menghapus spasi non-breaking (CHAR(160)) hasil copy dari web: =TRIM(SUBSTITUTE(A1,CHAR(160)," ")). Tanpa TRIM, VLOOKUP dan COUNTIF sering gagal karena spasi tersembunyi.</t>
  </si>
  <si>
    <t>UPPER</t>
  </si>
  <si>
    <t>Mengubah semua huruf menjadi KAPITAL: kode produk, kode wilayah, ID.</t>
  </si>
  <si>
    <t>=UPPER(teks)</t>
  </si>
  <si>
    <t>teks = sel atau teks yang diubah.</t>
  </si>
  <si>
    <t>=UPPER(Data_Karyawan!E2)</t>
  </si>
  <si>
    <t>Berguna untuk menyeragamkan kode sebelum dipakai sebagai kunci lookup.</t>
  </si>
  <si>
    <t>LOWER</t>
  </si>
  <si>
    <t>Mengubah semua huruf menjadi huruf kecil: standarisasi email, username, URL.</t>
  </si>
  <si>
    <t>=LOWER(teks)</t>
  </si>
  <si>
    <t>=LOWER(TRIM(Data_Karyawan!I2))</t>
  </si>
  <si>
    <t>Gabungkan dengan TRIM: LOWER(TRIM(...)). Lookup Excel tidak peka huruf besar-kecil, tetapi database / tool lain bisa peka.</t>
  </si>
  <si>
    <t>PROPER</t>
  </si>
  <si>
    <t>Mengubah huruf pertama tiap kata menjadi kapital: nama orang, nama kota, judul.</t>
  </si>
  <si>
    <t>=PROPER(teks)</t>
  </si>
  <si>
    <t>=PROPER(TRIM(Data_Karyawan!B2))</t>
  </si>
  <si>
    <t>PROPER mengubah "PT" menjadi "Pt" dan "McDonald" menjadi "Mcdonald" - periksa singkatan dan nama khusus secara manual.</t>
  </si>
  <si>
    <t>CONCAT</t>
  </si>
  <si>
    <t>Menengah</t>
  </si>
  <si>
    <t>Menggabungkan beberapa sel / teks: nama lengkap, kode unik, alamat, label.</t>
  </si>
  <si>
    <t>=CONCAT(teks1, [teks2], ...)
atau operator &amp;  |  =TEXTJOIN(pemisah, abaikan_kosong, teks1, ...)</t>
  </si>
  <si>
    <t>Teks literal ditulis dengan tanda kutip, mis. " " untuk spasi. CONCAT menerima rentang (CONCATENATE versi lama tidak).</t>
  </si>
  <si>
    <t>=CONCAT(PROPER(TRIM(Data_Karyawan!B3))," ",PROPER(TRIM(Data_Karyawan!C3)))</t>
  </si>
  <si>
    <t>Operator &amp; setara dan kompatibel semua versi Excel: =A2&amp;" "&amp;B2. Angka / tanggal yang digabung menjadi teks - gunakan TEXT(tanggal,"dd/mm/yyyy") untuk mengatur formatnya.</t>
  </si>
  <si>
    <t>REPLACE</t>
  </si>
  <si>
    <t>Mengganti karakter berdasarkan POSISI: masking data, ganti prefix kode, perbaiki format ID.</t>
  </si>
  <si>
    <t>=REPLACE(teks_lama, posisi_awal, jumlah_karakter, teks_baru)</t>
  </si>
  <si>
    <t>posisi_awal = karakter ke-n (mulai dari 1). jumlah_karakter = berapa karakter yang diganti. teks_baru = pengganti.</t>
  </si>
  <si>
    <t>=REPLACE(Data_Karyawan!H3,11,4,"XXXX")</t>
  </si>
  <si>
    <t>Jika jumlah_karakter = 0, REPLACE hanya menyisipkan teks tanpa menghapus. Posisi dihitung mulai 1, bukan 0.</t>
  </si>
  <si>
    <t>SUBSTITUTE</t>
  </si>
  <si>
    <t>Mengganti TEKS tertentu di mana pun muncul: hapus tanda baca, ganti istilah, bersihkan data.</t>
  </si>
  <si>
    <t>=SUBSTITUTE(teks, teks_lama, teks_baru, [kemunculan_ke])</t>
  </si>
  <si>
    <t>kemunculan_ke (opsional) = hanya ganti kemunculan ke-n; dikosongkan = ganti semua. Peka huruf besar-kecil.</t>
  </si>
  <si>
    <t>=SUBSTITUTE(Data_Penjualan!A3,"TRX","INV")</t>
  </si>
  <si>
    <t>REPLACE mencari berdasarkan posisi, SUBSTITUTE berdasarkan isi teks. Untuk MENGHAPUS teks, isi teks_baru dengan "" (kosong). Bisa disusun bertingkat untuk beberapa karakter.</t>
  </si>
  <si>
    <t>IF</t>
  </si>
  <si>
    <t>Membuat keputusan otomatis: klasifikasi (Besar / Kecil), flag data, status.</t>
  </si>
  <si>
    <t>=IF(uji_logika, nilai_jika_benar, [nilai_jika_salah])</t>
  </si>
  <si>
    <t>uji_logika = kondisi dengan operator &gt;, &lt;, &gt;=, &lt;=, =, &lt;&gt;. Teks pada hasil ditulis dengan tanda kutip.</t>
  </si>
  <si>
    <t>=IF(Data_Penjualan!H2&gt;=10,"Grosir","Eceran")</t>
  </si>
  <si>
    <t>Kondisi teks ditulis A2="Lunas" (pakai kutip). &lt;&gt; artinya "tidak sama dengan". Jika nilai_jika_salah dikosongkan dan kondisi salah, hasilnya FALSE.</t>
  </si>
  <si>
    <t>IF Bersarang + AND / OR</t>
  </si>
  <si>
    <t>Lanjut</t>
  </si>
  <si>
    <t>Klasifikasi lebih dari dua kelas atau kondisi majemuk (mis. prioritas penagihan).</t>
  </si>
  <si>
    <t>=IF(uji1, hasil1, IF(uji2, hasil2, hasil3))
=IF(AND(kondisi1, kondisi2), ...)
=IF(OR(kondisi1, kondisi2), ...)</t>
  </si>
  <si>
    <t>AND = semua kondisi harus benar. OR = cukup salah satu benar. Pada IF bersarang, urutkan kondisi dari yang paling ketat ke paling longgar.</t>
  </si>
  <si>
    <t>=IF(AND(Data_Penjualan!J2&gt;0,Data_Penjualan!K2="Lunas"),"Diskon &amp; Lunas","Lainnya")</t>
  </si>
  <si>
    <t>Urutan kondisi menentukan hasil. Lebih dari 3-4 level sebaiknya pakai IFS atau tabel lookup. Bungkus IFERROR(rumus, "alternatif") untuk menangani error.</t>
  </si>
  <si>
    <t>DATEDIF</t>
  </si>
  <si>
    <t>Menghitung selisih tanggal dalam tahun / bulan / hari: usia, masa kerja, lama pengiriman, umur piutang.</t>
  </si>
  <si>
    <t>=DATEDIF(tanggal_awal, tanggal_akhir, satuan)</t>
  </si>
  <si>
    <t>satuan: "y" = tahun penuh, "m" = bulan penuh, "d" = hari, "ym" = sisa bulan setelah tahun penuh, "md" = sisa hari setelah bulan penuh.</t>
  </si>
  <si>
    <t>=DATEDIF(Data_Karyawan!G3,Data_Karyawan!$V$2,"y")</t>
  </si>
  <si>
    <t>DATEDIF "tersembunyi" (tidak muncul di saran fungsi) tetapi tetap berfungsi. tanggal_awal harus lebih kecil dari tanggal_akhir, jika tidak hasilnya error NUM. Ganti tanggal akhir dengan TODAY() untuk hasil real-time.</t>
  </si>
  <si>
    <t>Mengambil data dari tabel referensi berdasarkan kunci: menggabungkan data produk, pelanggan, harga ke tabel transaksi.</t>
  </si>
  <si>
    <t>=VLOOKUP(nilai_dicari, tabel, nomor_kolom, [cocok_persis])</t>
  </si>
  <si>
    <t>nilai_dicari = kunci (harus ada di KOLOM PERTAMA tabel). tabel = rentang referensi, kunci absolut ($A$2:$F$11). nomor_kolom = kolom ke-n dalam tabel. cocok_persis = FALSE (atau 0) untuk exact match.</t>
  </si>
  <si>
    <t>=VLOOKUP("P004",Master_Produk!$A$2:$F$11,2,FALSE)</t>
  </si>
  <si>
    <t>Selalu isi FALSE agar exact match. error N/A = kunci tidak ditemukan (cek spasi / tipe data) - tangani dengan IFERROR. Alternatif lebih fleksibel: INDEX + MATCH, atau XLOOKUP (Excel 365).</t>
  </si>
  <si>
    <t>Sama seperti VLOOKUP, tetapi tabel referensi disusun MENDATAR (judul di baris pertama): target per region, kalender.</t>
  </si>
  <si>
    <t>=HLOOKUP(nilai_dicari, tabel, nomor_baris, [cocok_persis])</t>
  </si>
  <si>
    <t>nilai_dicari dicari di BARIS PERTAMA tabel. nomor_baris = baris ke-n dalam tabel. cocok_persis = FALSE untuk exact match.</t>
  </si>
  <si>
    <t>=HLOOKUP("Sumatera",Target_Region!$A$1:$F$4,4,FALSE)</t>
  </si>
  <si>
    <t>Pakai HLOOKUP hanya jika data memang horizontal; data analyst umumnya menyusun data secara vertikal (satu baris = satu record).</t>
  </si>
  <si>
    <t>Charting (Grafik)</t>
  </si>
  <si>
    <t>Mengubah angka menjadi visual untuk melihat tren, perbandingan, dan outlier dengan cepat.</t>
  </si>
  <si>
    <t>Insert &gt; Charts &gt; Column / Line / Pie / Combo</t>
  </si>
  <si>
    <t>Column / Bar = bandingkan kategori. Line = tren waktu. Pie = proporsi (maks. 5 irisan). Combo = dua ukuran berbeda, mis. realisasi (batang) vs target (garis).</t>
  </si>
  <si>
    <t>Blok tabel A5:B9 di sheet Kunci_Pivot_Chart &gt; Insert &gt; Clustered Column</t>
  </si>
  <si>
    <t>Lihat sheet Kunci_Pivot_Chart</t>
  </si>
  <si>
    <t>Beri judul dan label sumbu, hindari efek 3D, urutkan batang dari terbesar, gunakan satu warna sorot untuk insight utama. Grafik contoh ada di sheet Kunci_Pivot_Chart.</t>
  </si>
  <si>
    <t>Meringkas ratusan / ribuan baris menjadi tabel ringkasan tanpa rumus. Fondasi analisis ad-hoc.</t>
  </si>
  <si>
    <t>Insert &gt; PivotTable &gt; pilih tabel &gt; seret field ke Filters / Columns / Rows / Values</t>
  </si>
  <si>
    <t>Rows = pengelompokan baris. Columns = pengelompokan kolom. Values = angka yang dihitung (Sum, Count, Average, Max, Min). Filters / Slicer = penyaring interaktif.</t>
  </si>
  <si>
    <t>Rows: Kategori | Values: Sum of Total_Penjualan</t>
  </si>
  <si>
    <t>Data harus rapi: 1 baris header, tanpa baris / kolom kosong, tanpa merge cell. Setelah data berubah klik kanan &gt; Refresh. Field tanggal bisa di-Group per bulan / kuartal / tahun.</t>
  </si>
  <si>
    <t>ID_Transaksi</t>
  </si>
  <si>
    <t>Tgl_Order</t>
  </si>
  <si>
    <t>Tgl_Kirim</t>
  </si>
  <si>
    <t>Nama_Pelanggan</t>
  </si>
  <si>
    <t>Kode_Produk</t>
  </si>
  <si>
    <t>Kategori</t>
  </si>
  <si>
    <t>Region</t>
  </si>
  <si>
    <t>Qty</t>
  </si>
  <si>
    <t>Harga_Satuan</t>
  </si>
  <si>
    <t>Diskon</t>
  </si>
  <si>
    <t>Status_Bayar</t>
  </si>
  <si>
    <t>Sales_Rep</t>
  </si>
  <si>
    <t>Total_Penjualan</t>
  </si>
  <si>
    <t>Nama_Produk</t>
  </si>
  <si>
    <t>Harga_Pokok</t>
  </si>
  <si>
    <t>Laba</t>
  </si>
  <si>
    <t>Lama_Kirim_Hari</t>
  </si>
  <si>
    <t>Kelas_Order</t>
  </si>
  <si>
    <t>Prioritas_Tagih</t>
  </si>
  <si>
    <t>TRX-0001</t>
  </si>
  <si>
    <t>CV Cahaya Baru</t>
  </si>
  <si>
    <t>P008</t>
  </si>
  <si>
    <t>Furniture</t>
  </si>
  <si>
    <t>Jawa Timur</t>
  </si>
  <si>
    <t>Belum Lunas</t>
  </si>
  <si>
    <t>Budi Santoso</t>
  </si>
  <si>
    <t>TRX-0002</t>
  </si>
  <si>
    <t>P009</t>
  </si>
  <si>
    <t>Elektronik</t>
  </si>
  <si>
    <t>Sumatera</t>
  </si>
  <si>
    <t>Cicilan</t>
  </si>
  <si>
    <t>Dewi Lestari</t>
  </si>
  <si>
    <t>TRX-0003</t>
  </si>
  <si>
    <t>PT Maju Jaya</t>
  </si>
  <si>
    <t>P007</t>
  </si>
  <si>
    <t>Jakarta</t>
  </si>
  <si>
    <t>Lunas</t>
  </si>
  <si>
    <t>Siti Rahmawati</t>
  </si>
  <si>
    <t>TRX-0004</t>
  </si>
  <si>
    <t>PT Nusantara Digital</t>
  </si>
  <si>
    <t>P010</t>
  </si>
  <si>
    <t>ATK</t>
  </si>
  <si>
    <t>Jawa Tengah</t>
  </si>
  <si>
    <t>TRX-0005</t>
  </si>
  <si>
    <t>TRX-0006</t>
  </si>
  <si>
    <t>Koperasi Sejahtera</t>
  </si>
  <si>
    <t>P006</t>
  </si>
  <si>
    <t>Aksesoris</t>
  </si>
  <si>
    <t>TRX-0007</t>
  </si>
  <si>
    <t>P003</t>
  </si>
  <si>
    <t>TRX-0008</t>
  </si>
  <si>
    <t>Toko Sinar Terang</t>
  </si>
  <si>
    <t>Andi Pratama</t>
  </si>
  <si>
    <t>TRX-0009</t>
  </si>
  <si>
    <t>CV Berkah Abadi</t>
  </si>
  <si>
    <t>P002</t>
  </si>
  <si>
    <t>TRX-0010</t>
  </si>
  <si>
    <t>UD Sumber Rezeki</t>
  </si>
  <si>
    <t>P004</t>
  </si>
  <si>
    <t>TRX-0011</t>
  </si>
  <si>
    <t>PT Global Teknindo</t>
  </si>
  <si>
    <t>P001</t>
  </si>
  <si>
    <t>Jawa Barat</t>
  </si>
  <si>
    <t>TRX-0012</t>
  </si>
  <si>
    <t>TRX-0013</t>
  </si>
  <si>
    <t>TRX-0014</t>
  </si>
  <si>
    <t>TRX-0015</t>
  </si>
  <si>
    <t>TRX-0016</t>
  </si>
  <si>
    <t>TRX-0017</t>
  </si>
  <si>
    <t>CV Karya Mandiri</t>
  </si>
  <si>
    <t>TRX-0018</t>
  </si>
  <si>
    <t>TRX-0019</t>
  </si>
  <si>
    <t>TRX-0020</t>
  </si>
  <si>
    <t>Toko Elektronik Makmur</t>
  </si>
  <si>
    <t>TRX-0021</t>
  </si>
  <si>
    <t>TRX-0022</t>
  </si>
  <si>
    <t>TRX-0023</t>
  </si>
  <si>
    <t>TRX-0024</t>
  </si>
  <si>
    <t>TRX-0025</t>
  </si>
  <si>
    <t>PT Bintang Utama</t>
  </si>
  <si>
    <t>TRX-0026</t>
  </si>
  <si>
    <t>TRX-0027</t>
  </si>
  <si>
    <t>TRX-0028</t>
  </si>
  <si>
    <t>Toko Gadget Prima</t>
  </si>
  <si>
    <t>TRX-0029</t>
  </si>
  <si>
    <t>TRX-0030</t>
  </si>
  <si>
    <t>P005</t>
  </si>
  <si>
    <t>TRX-0031</t>
  </si>
  <si>
    <t>TRX-0032</t>
  </si>
  <si>
    <t>TRX-0033</t>
  </si>
  <si>
    <t>TRX-0034</t>
  </si>
  <si>
    <t>TRX-0035</t>
  </si>
  <si>
    <t>TRX-0036</t>
  </si>
  <si>
    <t>TRX-0037</t>
  </si>
  <si>
    <t>TRX-0038</t>
  </si>
  <si>
    <t>TRX-0039</t>
  </si>
  <si>
    <t>TRX-0040</t>
  </si>
  <si>
    <t>TRX-0041</t>
  </si>
  <si>
    <t>TRX-0042</t>
  </si>
  <si>
    <t>TRX-0043</t>
  </si>
  <si>
    <t>TRX-0044</t>
  </si>
  <si>
    <t>TRX-0045</t>
  </si>
  <si>
    <t>TRX-0046</t>
  </si>
  <si>
    <t>TRX-0047</t>
  </si>
  <si>
    <t>TRX-0048</t>
  </si>
  <si>
    <t>TRX-0049</t>
  </si>
  <si>
    <t>TRX-0050</t>
  </si>
  <si>
    <t>TRX-0051</t>
  </si>
  <si>
    <t>TRX-0052</t>
  </si>
  <si>
    <t>TRX-0053</t>
  </si>
  <si>
    <t>TRX-0054</t>
  </si>
  <si>
    <t>TRX-0055</t>
  </si>
  <si>
    <t>TRX-0056</t>
  </si>
  <si>
    <t>TRX-0057</t>
  </si>
  <si>
    <t>TRX-0058</t>
  </si>
  <si>
    <t>TRX-0059</t>
  </si>
  <si>
    <t>TRX-0060</t>
  </si>
  <si>
    <t>Supplier</t>
  </si>
  <si>
    <t>Stok</t>
  </si>
  <si>
    <t>Laptop Asus Vivobook 14</t>
  </si>
  <si>
    <t>PT Mitra Teknologi</t>
  </si>
  <si>
    <t>Smartphone Samsung A15</t>
  </si>
  <si>
    <t>PT Samudra Gadget</t>
  </si>
  <si>
    <t>Monitor LG 24 inch</t>
  </si>
  <si>
    <t>Mouse Wireless Logitech</t>
  </si>
  <si>
    <t>CV Aksesori Prima</t>
  </si>
  <si>
    <t>Keyboard Mekanik Rexus</t>
  </si>
  <si>
    <t>Headset Gaming Fantech</t>
  </si>
  <si>
    <t>Kursi Ergonomis Indachi</t>
  </si>
  <si>
    <t>UD Mebel Jaya</t>
  </si>
  <si>
    <t>Meja Kerja Lipat</t>
  </si>
  <si>
    <t>Printer Epson L3210</t>
  </si>
  <si>
    <t>Kertas A4 80gr (Rim)</t>
  </si>
  <si>
    <t>CV Kertas Nusantara</t>
  </si>
  <si>
    <t>Catatan: tabel referensi VERTIKAL (kunci di kolom A) untuk latihan VLOOKUP. Data fiktif.</t>
  </si>
  <si>
    <t>Target_Penjualan</t>
  </si>
  <si>
    <t>Manajer_Region</t>
  </si>
  <si>
    <t>Rudi Hartono</t>
  </si>
  <si>
    <t>Yuni Astuti</t>
  </si>
  <si>
    <t>Tono Wibowo</t>
  </si>
  <si>
    <t>Sari Utami</t>
  </si>
  <si>
    <t>Bagus Hidayat</t>
  </si>
  <si>
    <t>Jumlah_Cabang</t>
  </si>
  <si>
    <t>Catatan: tabel referensi HORIZONTAL (kunci di baris 1) untuk latihan HLOOKUP. Target dan nama manajer adalah data fiktif (asumsi untuk latihan).</t>
  </si>
  <si>
    <t>ID_Karyawan</t>
  </si>
  <si>
    <t>Nama_Depan</t>
  </si>
  <si>
    <t>Nama_Belakang</t>
  </si>
  <si>
    <t>Jabatan</t>
  </si>
  <si>
    <t>Departemen</t>
  </si>
  <si>
    <t>Tgl_Lahir</t>
  </si>
  <si>
    <t>Tgl_Masuk</t>
  </si>
  <si>
    <t>No_HP</t>
  </si>
  <si>
    <t>Email</t>
  </si>
  <si>
    <t>Gaji_Pokok</t>
  </si>
  <si>
    <t>Nama_Lengkap</t>
  </si>
  <si>
    <t>Jabatan_Rapi</t>
  </si>
  <si>
    <t>Email_Rapi</t>
  </si>
  <si>
    <t>Usia</t>
  </si>
  <si>
    <t>Masa_Kerja</t>
  </si>
  <si>
    <t>No_HP_Bersih</t>
  </si>
  <si>
    <t>No_HP_Intl</t>
  </si>
  <si>
    <t>No_HP_Samar</t>
  </si>
  <si>
    <t>Kode_Baru</t>
  </si>
  <si>
    <t>Username</t>
  </si>
  <si>
    <t>Tanggal_Acuan</t>
  </si>
  <si>
    <t>EMP-001</t>
  </si>
  <si>
    <t xml:space="preserve">  budi</t>
  </si>
  <si>
    <t xml:space="preserve">santoso  </t>
  </si>
  <si>
    <t xml:space="preserve">  Sales   Executive </t>
  </si>
  <si>
    <t>Sales</t>
  </si>
  <si>
    <t>0812-3456-7801</t>
  </si>
  <si>
    <t xml:space="preserve"> Budi.Santoso@Perusahaan.CO.ID </t>
  </si>
  <si>
    <t>EMP-002</t>
  </si>
  <si>
    <t xml:space="preserve">SITI </t>
  </si>
  <si>
    <t>rahmawati</t>
  </si>
  <si>
    <t>Finance  Analyst</t>
  </si>
  <si>
    <t>Finance</t>
  </si>
  <si>
    <t>0813-5551-0002</t>
  </si>
  <si>
    <t>SITI.RAHMAWATI@perusahaan.co.id</t>
  </si>
  <si>
    <t>Tanggal tetap (input) agar hasil DATEDIF selalu sama.</t>
  </si>
  <si>
    <t>EMP-003</t>
  </si>
  <si>
    <t xml:space="preserve"> andi</t>
  </si>
  <si>
    <t>PRATAMA</t>
  </si>
  <si>
    <t>Data   Analyst</t>
  </si>
  <si>
    <t>IT</t>
  </si>
  <si>
    <t>0821-4402-0003</t>
  </si>
  <si>
    <t>Andi.Pratama@perusahaan.co.id</t>
  </si>
  <si>
    <t>EMP-004</t>
  </si>
  <si>
    <t>dewi</t>
  </si>
  <si>
    <t>lestari</t>
  </si>
  <si>
    <t>HR Officer</t>
  </si>
  <si>
    <t>HR</t>
  </si>
  <si>
    <t>0857-1203-0004</t>
  </si>
  <si>
    <t>dewi.lestari@PERUSAHAAN.co.id</t>
  </si>
  <si>
    <t>EMP-005</t>
  </si>
  <si>
    <t xml:space="preserve">Rina  </t>
  </si>
  <si>
    <t>WULANDARI</t>
  </si>
  <si>
    <t xml:space="preserve">  Marketing  Specialist</t>
  </si>
  <si>
    <t>Marketing</t>
  </si>
  <si>
    <t>0878-9901-0005</t>
  </si>
  <si>
    <t>Rina.Wulandari@perusahaan.co.id</t>
  </si>
  <si>
    <t>EMP-006</t>
  </si>
  <si>
    <t>agus</t>
  </si>
  <si>
    <t xml:space="preserve">setiawan </t>
  </si>
  <si>
    <t>Sales Executive</t>
  </si>
  <si>
    <t>0811-2233-0006</t>
  </si>
  <si>
    <t>AGUS.SETIAWAN@perusahaan.co.id</t>
  </si>
  <si>
    <t>EMP-007</t>
  </si>
  <si>
    <t xml:space="preserve"> PUTRI</t>
  </si>
  <si>
    <t>anggraini</t>
  </si>
  <si>
    <t>Accounting   Staff</t>
  </si>
  <si>
    <t>0852-7788-0007</t>
  </si>
  <si>
    <t>Putri.Anggraini@Perusahaan.co.id</t>
  </si>
  <si>
    <t>EMP-008</t>
  </si>
  <si>
    <t>eko</t>
  </si>
  <si>
    <t xml:space="preserve"> prasetyo</t>
  </si>
  <si>
    <t>IT   Support</t>
  </si>
  <si>
    <t>0819-6655-0008</t>
  </si>
  <si>
    <t>eko.prasetyo@perusahaan.co.id</t>
  </si>
  <si>
    <t>EMP-009</t>
  </si>
  <si>
    <t xml:space="preserve">Maya </t>
  </si>
  <si>
    <t>Sari</t>
  </si>
  <si>
    <t>Operations Manager</t>
  </si>
  <si>
    <t>Operasional</t>
  </si>
  <si>
    <t>0822-3344-0009</t>
  </si>
  <si>
    <t>Maya.Sari@perusahaan.co.id</t>
  </si>
  <si>
    <t>EMP-010</t>
  </si>
  <si>
    <t>hendra</t>
  </si>
  <si>
    <t>GUNAWAN</t>
  </si>
  <si>
    <t xml:space="preserve">  Warehouse  Supervisor</t>
  </si>
  <si>
    <t>0838-9090-0010</t>
  </si>
  <si>
    <t>HENDRA.GUNAWAN@perusahaan.co.id</t>
  </si>
  <si>
    <t>EMP-011</t>
  </si>
  <si>
    <t>lina</t>
  </si>
  <si>
    <t>marlina</t>
  </si>
  <si>
    <t>Recruiter</t>
  </si>
  <si>
    <t>0856-1010-0011</t>
  </si>
  <si>
    <t>lina.marlina@perusahaan.co.id</t>
  </si>
  <si>
    <t>EMP-012</t>
  </si>
  <si>
    <t xml:space="preserve">joko </t>
  </si>
  <si>
    <t>SUSILO</t>
  </si>
  <si>
    <t>Sales  Manager</t>
  </si>
  <si>
    <t>0815-4545-0012</t>
  </si>
  <si>
    <t>Joko.Susilo@perusahaan.co.id</t>
  </si>
  <si>
    <t>EMP-013</t>
  </si>
  <si>
    <t>fitri</t>
  </si>
  <si>
    <t>handayani</t>
  </si>
  <si>
    <t>Content   Creator</t>
  </si>
  <si>
    <t>0877-2020-0013</t>
  </si>
  <si>
    <t>FITRI.HANDAYANI@perusahaan.co.id</t>
  </si>
  <si>
    <t>EMP-014</t>
  </si>
  <si>
    <t xml:space="preserve">  rizky</t>
  </si>
  <si>
    <t>Ramadhan</t>
  </si>
  <si>
    <t>Data Engineer</t>
  </si>
  <si>
    <t>0823-6767-0014</t>
  </si>
  <si>
    <t>rizky.ramadhan@perusahaan.co.id</t>
  </si>
  <si>
    <t>EMP-015</t>
  </si>
  <si>
    <t>NUR</t>
  </si>
  <si>
    <t>hidayah</t>
  </si>
  <si>
    <t>Finance   Manager</t>
  </si>
  <si>
    <t>0813-8888-0015</t>
  </si>
  <si>
    <t>Nur.Hidayah@perusahaan.co.id</t>
  </si>
  <si>
    <t>EMP-016</t>
  </si>
  <si>
    <t>doni</t>
  </si>
  <si>
    <t xml:space="preserve">kurniawan </t>
  </si>
  <si>
    <t>Customer Service</t>
  </si>
  <si>
    <t>0851-3131-0016</t>
  </si>
  <si>
    <t>doni.kurniawan@perusahaan.co.id</t>
  </si>
  <si>
    <t>EMP-017</t>
  </si>
  <si>
    <t>ayu</t>
  </si>
  <si>
    <t>LESTARI</t>
  </si>
  <si>
    <t>Brand   Specialist</t>
  </si>
  <si>
    <t>0812-9494-0017</t>
  </si>
  <si>
    <t>Ayu.Lestari@Perusahaan.co.id</t>
  </si>
  <si>
    <t>EMP-018</t>
  </si>
  <si>
    <t>bayu</t>
  </si>
  <si>
    <t>nugroho</t>
  </si>
  <si>
    <t>Business  Analyst</t>
  </si>
  <si>
    <t>0896-2727-0018</t>
  </si>
  <si>
    <t>BAYU.NUGROHO@perusahaan.co.id</t>
  </si>
  <si>
    <t>EMP-019</t>
  </si>
  <si>
    <t xml:space="preserve"> intan</t>
  </si>
  <si>
    <t>permata</t>
  </si>
  <si>
    <t>0881-5656-0019</t>
  </si>
  <si>
    <t>Intan.Permata@perusahaan.co.id</t>
  </si>
  <si>
    <t>EMP-020</t>
  </si>
  <si>
    <t>fajar</t>
  </si>
  <si>
    <t>Hidayat</t>
  </si>
  <si>
    <t>HR Manager</t>
  </si>
  <si>
    <t>0818-1414-0020</t>
  </si>
  <si>
    <t>fajar.hidayat@perusahaan.co.id</t>
  </si>
  <si>
    <t>Latihan Excel untuk Data Analyst (48 soal)</t>
  </si>
  <si>
    <t>Kerjakan di sheet data masing-masing (kolom kuning = kolom bantu latihan). Tulis rumus/jawaban Anda di kolom 'Jawaban Anda', lalu cocokkan dengan sheet Kunci_Jawaban.</t>
  </si>
  <si>
    <t>Topik</t>
  </si>
  <si>
    <t>Soal</t>
  </si>
  <si>
    <t>Data yang Dipakai</t>
  </si>
  <si>
    <t>Petunjuk</t>
  </si>
  <si>
    <t>Jawaban Anda</t>
  </si>
  <si>
    <t>Mudah</t>
  </si>
  <si>
    <t>Hitung total seluruh penjualan (jumlahkan kolom Total_Penjualan).</t>
  </si>
  <si>
    <t>Data_Penjualan, kolom M</t>
  </si>
  <si>
    <t>Gunakan SUM pada rentang M2:M61. Cross-check: blok kolom M dan lihat Sum di status bar.</t>
  </si>
  <si>
    <t>Sedang</t>
  </si>
  <si>
    <t>Hitung total Qty (jumlah unit) yang terjual untuk kategori "Elektronik".</t>
  </si>
  <si>
    <t>Data_Penjualan, kolom F dan H</t>
  </si>
  <si>
    <t>SUMIF(rentang_kriteria, kriteria, rentang_jumlah). Teks kriteria ditulis dengan tanda kutip.</t>
  </si>
  <si>
    <t>Sulit</t>
  </si>
  <si>
    <t>Hitung total penjualan untuk Region "Jakarta" yang Status_Bayar-nya "Lunas".</t>
  </si>
  <si>
    <t>Data_Penjualan, kolom G, K, M</t>
  </si>
  <si>
    <t>Dua syarat sekaligus = SUMIFS. Argumen pertama SUMIFS adalah rentang yang dijumlahkan.</t>
  </si>
  <si>
    <t>Berapa rata-rata Total_Penjualan per transaksi?</t>
  </si>
  <si>
    <t>AVERAGE pada M2:M61.</t>
  </si>
  <si>
    <t>Berapa rata-rata Qty per transaksi untuk kategori "Aksesoris"?</t>
  </si>
  <si>
    <t>AVERAGEIF(rentang_kriteria, kriteria, rentang_rata2).</t>
  </si>
  <si>
    <t>Berapa rata-rata Total_Penjualan transaksi milik Sales_Rep "Siti Rahmawati" yang berstatus "Lunas"?</t>
  </si>
  <si>
    <t>Data_Penjualan, kolom K, L, M</t>
  </si>
  <si>
    <t>Dua syarat = AVERAGEIFS. Rentang yang dirata-ratakan ditulis PERTAMA.</t>
  </si>
  <si>
    <t>COUNT</t>
  </si>
  <si>
    <t>Berapa transaksi yang sudah dikirim (kolom Tgl_Kirim terisi)?</t>
  </si>
  <si>
    <t>Data_Penjualan, kolom C</t>
  </si>
  <si>
    <t>Tanggal disimpan sebagai angka, jadi COUNT bisa menghitungnya.</t>
  </si>
  <si>
    <t>Berapa transaksi yang BELUM dikirim (Tgl_Kirim kosong)? Cari dua cara.</t>
  </si>
  <si>
    <t>Data_Penjualan, kolom A dan C</t>
  </si>
  <si>
    <t>Cara 1: COUNTBLANK. Cara 2: COUNTA(kolom ID) dikurangi COUNT(kolom Tgl_Kirim).</t>
  </si>
  <si>
    <t>Berapa transaksi di Region "Jawa Timur" dengan Status_Bayar "Belum Lunas"?</t>
  </si>
  <si>
    <t>Data_Penjualan, kolom G dan K</t>
  </si>
  <si>
    <t>Dua syarat = COUNTIFS(rentang1, kriteria1, rentang2, kriteria2).</t>
  </si>
  <si>
    <t>MIN / MAX</t>
  </si>
  <si>
    <t>Berapa nilai Total_Penjualan terbesar dalam satu transaksi?</t>
  </si>
  <si>
    <t>MAX pada M2:M61.</t>
  </si>
  <si>
    <t>Kapan tanggal order paling awal? (tampilkan dalam format tanggal)</t>
  </si>
  <si>
    <t>Data_Penjualan, kolom B</t>
  </si>
  <si>
    <t>MIN pada kolom tanggal, lalu ubah format sel menjadi Date.</t>
  </si>
  <si>
    <t>Berapa selisih antara transaksi terbesar dan terkecil (range data)?</t>
  </si>
  <si>
    <t>Kurangkan MIN dari MAX.</t>
  </si>
  <si>
    <t>Berapa nilai Total_Penjualan terbesar khusus kategori "Furniture"?</t>
  </si>
  <si>
    <t>Data_Penjualan, kolom F dan M</t>
  </si>
  <si>
    <t>MAXIFS(rentang_max, rentang_kriteria, kriteria) - butuh Excel 2019 / 365.</t>
  </si>
  <si>
    <t>Rapikan spasi berlebih pada Nama_Depan karyawan di baris 2 (sel B2).</t>
  </si>
  <si>
    <t>Data_Karyawan, kolom B</t>
  </si>
  <si>
    <t>=TRIM(B2).</t>
  </si>
  <si>
    <t>Berapa karakter spasi berlebih pada Jabatan di sel D2? (selisih panjang teks sebelum dan sesudah TRIM)</t>
  </si>
  <si>
    <t>Data_Karyawan, kolom D</t>
  </si>
  <si>
    <t>LEN(teks) menghitung jumlah karakter. Kurangkan LEN(TRIM(teks)).</t>
  </si>
  <si>
    <t>Berapa karyawan yang kolom Jabatan-nya mengandung spasi berlebih (D2:D21)?</t>
  </si>
  <si>
    <t>SUMPRODUCT dengan perbandingan LEN(rentang) &lt;&gt; LEN(TRIM(rentang)). Gunakan -- untuk mengubah TRUE/FALSE menjadi 1/0.</t>
  </si>
  <si>
    <t>UPPER / LOWER / PROPER</t>
  </si>
  <si>
    <t>Ubah Departemen di sel E2 menjadi huruf KAPITAL semua. (Tulis rumus di sel kosong mana saja)</t>
  </si>
  <si>
    <t>Data_Karyawan, kolom E</t>
  </si>
  <si>
    <t>=UPPER(E2).</t>
  </si>
  <si>
    <t>Rapikan Email di sel I2: hapus spasi berlebih dan jadikan huruf kecil semua. (Isi kolom M: Email_Rapi)</t>
  </si>
  <si>
    <t>Data_Karyawan, kolom I -&gt; M</t>
  </si>
  <si>
    <t>Gabungkan dua fungsi: LOWER(TRIM(...)).</t>
  </si>
  <si>
    <t>Rapikan Jabatan di sel D2: hilangkan spasi berlebih dan jadikan huruf awal tiap kata kapital. (Isi kolom L: Jabatan_Rapi)</t>
  </si>
  <si>
    <t>Data_Karyawan, kolom D -&gt; L</t>
  </si>
  <si>
    <t>PROPER(TRIM(...)).</t>
  </si>
  <si>
    <t>Gabungkan Nama_Depan dan Nama_Belakang (baris 2) menjadi Nama_Lengkap yang rapi, mis. "Budi Santoso". (Isi kolom K)</t>
  </si>
  <si>
    <t>Data_Karyawan, kolom B, C -&gt; K</t>
  </si>
  <si>
    <t>Rapikan dulu tiap bagian dengan PROPER(TRIM()), lalu gabungkan dengan spasi " " di tengah.</t>
  </si>
  <si>
    <t>Buat Username: huruf pertama Nama_Depan + Nama_Belakang, semua huruf kecil, mis. "bsantoso". (Isi kolom T)</t>
  </si>
  <si>
    <t>Data_Karyawan, kolom B, C -&gt; T</t>
  </si>
  <si>
    <t>LEFT(teks, 1) mengambil 1 karakter pertama. Jangan lupa TRIM dan LOWER.</t>
  </si>
  <si>
    <t>Buat Kode_Baru: 3 huruf pertama Departemen (kapital) + tanda "-" + 3 karakter terakhir ID_Karyawan, mis. "SAL-001". (Isi kolom S)</t>
  </si>
  <si>
    <t>Data_Karyawan, kolom A, E -&gt; S</t>
  </si>
  <si>
    <t>LEFT(teks, 3) dan RIGHT(teks, 3).</t>
  </si>
  <si>
    <t>REPLACE / SUBSTITUTE</t>
  </si>
  <si>
    <t>Hapus tanda "-" dari No_HP di sel H2. (Isi kolom P: No_HP_Bersih)</t>
  </si>
  <si>
    <t>Data_Karyawan, kolom H -&gt; P</t>
  </si>
  <si>
    <t>SUBSTITUTE(teks, teks_lama, teks_baru). Untuk menghapus, teks_baru = "".</t>
  </si>
  <si>
    <t>Dari nomor yang sudah bersih (tanpa "-"), ganti angka 0 di depan menjadi +62, mis. "+62812...". (Isi kolom Q: No_HP_Intl)</t>
  </si>
  <si>
    <t>Data_Karyawan, kolom H -&gt; Q</t>
  </si>
  <si>
    <t>REPLACE(teks, posisi_awal, jumlah_karakter, teks_baru) - ganti 1 karakter mulai posisi 1.</t>
  </si>
  <si>
    <t>Samarkan 4 digit tengah nomor HP bersih menjadi "****" (masking privasi), mis. "0812****7801". (Isi kolom R: No_HP_Samar)</t>
  </si>
  <si>
    <t>Data_Karyawan, kolom H -&gt; R</t>
  </si>
  <si>
    <t>Setelah bersih, nomor 12 digit: digit ke-5 sampai ke-8 adalah bagian tengah. Gunakan REPLACE bersarang dengan SUBSTITUTE.</t>
  </si>
  <si>
    <t>Pada kolom R (Kelas_Order) baris 2: tulis "Besar" jika Total_Penjualan &gt;= 10.000.000, selain itu "Kecil".</t>
  </si>
  <si>
    <t>Data_Penjualan, kolom M -&gt; R</t>
  </si>
  <si>
    <t>=IF(M2&gt;=10000000, "Besar", "Kecil").</t>
  </si>
  <si>
    <t>Ubah rumus kolom R (Kelas_Order) menjadi 3 kelas: &gt;= 20.000.000 "Besar"; &gt;= 5.000.000 "Sedang"; selain itu "Kecil".</t>
  </si>
  <si>
    <t>IF bersarang: IF(kondisi1, hasil1, IF(kondisi2, hasil2, hasil3)). Mulai dari kondisi yang paling ketat.</t>
  </si>
  <si>
    <t>Isi kolom S (Prioritas_Tagih): jika Status_Bayar BUKAN "Lunas" DAN Total_Penjualan &gt;= 10.000.000 -&gt; "Prioritas Tagih"; jika bukan "Lunas" saja -&gt; "Tagih Biasa"; selain itu -&gt; "Selesai".</t>
  </si>
  <si>
    <t>Data_Penjualan, kolom K, M -&gt; S</t>
  </si>
  <si>
    <t>Gabungkan IF bersarang dengan AND(kondisi1, kondisi2). Operator "tidak sama dengan" = &lt;&gt;.</t>
  </si>
  <si>
    <t>Berapa transaksi yang masuk kelas "Besar" (Total_Penjualan &gt;= 20.000.000)? Jawab tanpa memakai kolom bantu.</t>
  </si>
  <si>
    <t>COUNTIF dengan kriteria operator: "&gt;=20000000".</t>
  </si>
  <si>
    <t>Hitung usia (tahun penuh) karyawan di baris 2 pada Tanggal_Acuan (sel V2). (Isi kolom N: Usia)</t>
  </si>
  <si>
    <t>Data_Karyawan, kolom F -&gt; N, sel V2</t>
  </si>
  <si>
    <t>=DATEDIF(tgl_lahir, tanggal_acuan, "y"). Kunci sel V2 dengan $V$2.</t>
  </si>
  <si>
    <t>Tampilkan masa kerja karyawan baris 2 dalam format "X tahun Y bulan". (Isi kolom O: Masa_Kerja)</t>
  </si>
  <si>
    <t>Data_Karyawan, kolom G -&gt; O</t>
  </si>
  <si>
    <t>Gabungkan dua DATEDIF dengan &amp;: satuan "y" untuk tahun dan "ym" untuk sisa bulan.</t>
  </si>
  <si>
    <t>Hitung lama pengiriman (hari) transaksi baris 2; jika Tgl_Kirim kosong tampilkan "Belum dikirim". (Isi kolom Q: Lama_Kirim_Hari)</t>
  </si>
  <si>
    <t>Data_Penjualan, kolom B, C -&gt; Q</t>
  </si>
  <si>
    <t>Bungkus DATEDIF dengan IF: =IF(C2="", "Belum dikirim", DATEDIF(B2, C2, "d")).</t>
  </si>
  <si>
    <t>Berapa rata-rata lama pengiriman (hari) untuk transaksi yang sudah dikirim? Gunakan kolom Q hasil latihan sebelumnya.</t>
  </si>
  <si>
    <t>Data_Penjualan, kolom Q</t>
  </si>
  <si>
    <t>AVERAGE mengabaikan teks "Belum dikirim" secara otomatis.</t>
  </si>
  <si>
    <t>Berapa karyawan yang masa kerjanya &gt;= 5 tahun pada Tanggal_Acuan?</t>
  </si>
  <si>
    <t>Data_Karyawan, kolom G, sel V2</t>
  </si>
  <si>
    <t>Jangan pakai DATEDIF pada rentang. Hitung tanggal batas 60 bulan sebelum acuan dengan EDATE, lalu COUNTIF tanggal masuk &lt;= batas.</t>
  </si>
  <si>
    <t>Ambil Nama_Produk berdasarkan Kode_Produk transaksi baris 2 dari sheet Master_Produk. (Isi kolom N)</t>
  </si>
  <si>
    <t>Data_Penjualan kolom E -&gt; N; Master_Produk</t>
  </si>
  <si>
    <t>=VLOOKUP(E2, Master_Produk!$A$2:$F$11, 2, FALSE).</t>
  </si>
  <si>
    <t>Ambil Harga_Pokok produk transaksi baris 2 dari Master_Produk. (Isi kolom O)</t>
  </si>
  <si>
    <t>Data_Penjualan kolom E -&gt; O; Master_Produk</t>
  </si>
  <si>
    <t>Harga_Pokok ada di kolom ke-4 pada tabel Master_Produk.</t>
  </si>
  <si>
    <t>Hitung Laba transaksi baris 2 = Total_Penjualan - (Qty x Harga_Pokok). (Isi kolom P)</t>
  </si>
  <si>
    <t>Data_Penjualan kolom H, M, O -&gt; P</t>
  </si>
  <si>
    <t>Jika kolom O sudah terisi: =M2-H2*O2. Atau tanam VLOOKUP langsung di dalam rumus.</t>
  </si>
  <si>
    <t>Cari Supplier untuk kode "P999" (tidak ada di Master_Produk). Jangan tampilkan error N/A - tampilkan teks "Tidak ditemukan".</t>
  </si>
  <si>
    <t>Bungkus VLOOKUP dengan IFERROR(rumus, nilai_jika_error).</t>
  </si>
  <si>
    <t>Berapa Target_Penjualan untuk Region "Jawa Tengah"?</t>
  </si>
  <si>
    <t>Tabel horizontal: Region ada di baris 1. Target_Penjualan berada di baris ke-2 tabel.</t>
  </si>
  <si>
    <t>Ambil nama Manajer_Region untuk Region transaksi baris 2 (sel G2 Data_Penjualan).</t>
  </si>
  <si>
    <t>Data_Penjualan kolom G; Target_Region</t>
  </si>
  <si>
    <t>Manajer_Region ada di baris ke-3 tabel. nilai_dicari = sel G2.</t>
  </si>
  <si>
    <t>Hitung persentase pencapaian region "Jakarta" = total penjualan Jakarta / Target_Penjualan Jakarta.</t>
  </si>
  <si>
    <t>Data_Penjualan kolom G, M; Target_Region</t>
  </si>
  <si>
    <t>Pembilang: SUMIF. Penyebut: HLOOKUP. Format sel sebagai Percentage.</t>
  </si>
  <si>
    <t>Buat Column Chart total penjualan per Kategori. Kategori mana yang batangnya paling tinggi?</t>
  </si>
  <si>
    <t>Tabel A5:B9 di Kunci_Pivot_Chart (atau PivotTable Anda)</t>
  </si>
  <si>
    <t>Blok tabel &gt; Insert &gt; Charts &gt; Clustered Column. Tambahkan judul grafik dan Data Labels.</t>
  </si>
  <si>
    <t>Buat Line Chart tren total penjualan per bulan (Jan - Sep 2026). Pada bulan apa penjualan tertinggi?</t>
  </si>
  <si>
    <t>Tabel A30:C39 di Kunci_Pivot_Chart</t>
  </si>
  <si>
    <t>Blok kolom Bulan dan Total_Penjualan &gt; Insert &gt; Line with Markers. Line Chart cocok untuk data berurutan waktu.</t>
  </si>
  <si>
    <t>Buat Combo Chart: batang = total penjualan per Region, garis = Target. Berapa persen pencapaian TOTAL semua region terhadap total target?</t>
  </si>
  <si>
    <t>Tabel A43:D48 di Kunci_Pivot_Chart</t>
  </si>
  <si>
    <t>Blok kolom Region, Total_Penjualan, Target &gt; Insert &gt; Combo Chart &gt; Clustered Column - Line. Persentase pencapaian = total realisasi / total target.</t>
  </si>
  <si>
    <t>Buat PivotTable total penjualan per Kategori. Berapa Grand Total-nya?</t>
  </si>
  <si>
    <t>Data_Penjualan A1:M61</t>
  </si>
  <si>
    <t>Klik sel mana saja di data &gt; Insert &gt; PivotTable &gt; OK. Seret Kategori ke Rows, Total_Penjualan ke Values (Sum).</t>
  </si>
  <si>
    <t>Buat PivotTable: Rows = Region, Columns = Kategori, Values = Sum of Total_Penjualan. Berapa total penjualan Elektronik di Jakarta?</t>
  </si>
  <si>
    <t>Seret Region ke Rows, Kategori ke Columns, Total_Penjualan ke Values. Cari sel pertemuan Jakarta dan Elektronik.</t>
  </si>
  <si>
    <t>Buat PivotTable per Sales_Rep: jumlah transaksi (Count of ID_Transaksi) dan total penjualan (Sum of Total_Penjualan). Urutkan dari total terbesar. Siapa yang teratas?</t>
  </si>
  <si>
    <t>Rows = Sales_Rep. Values: ID_Transaksi (Count) dan Total_Penjualan (Sum). Klik kanan angka Sum &gt; Sort &gt; Largest to Smallest.</t>
  </si>
  <si>
    <t>Buat PivotTable total penjualan per bulan (Group Tgl_Order by Months) dengan Slicer Status_Bayar. Setelah memilih "Lunas", berapa total penjualan bulan Maret 2026?</t>
  </si>
  <si>
    <t>Rows = Tgl_Order (klik kanan &gt; Group &gt; Months). PivotTable Analyze &gt; Insert Slicer &gt; Status_Bayar &gt; pilih Lunas.</t>
  </si>
  <si>
    <t>Kunci Jawaban</t>
  </si>
  <si>
    <t>Kolom 'Hasil' adalah rumus hidup yang dihitung dari dataset. Soal per-baris dijawab untuk baris 2; hasil seluruh kolom ada di sheet Kunci_Kolom_Penjualan / Kunci_Kolom_Karyawan.</t>
  </si>
  <si>
    <t>Rumus / Langkah Jawaban</t>
  </si>
  <si>
    <t>Hasil</t>
  </si>
  <si>
    <t>Penjelasan</t>
  </si>
  <si>
    <t>=SUM(Data_Penjualan!$M$2:$M$61)</t>
  </si>
  <si>
    <t>SUM menjumlahkan semua angka di M2:M61.</t>
  </si>
  <si>
    <t>=SUMIF(Data_Penjualan!$F$2:$F$61,"Elektronik",Data_Penjualan!$H$2:$H$61)</t>
  </si>
  <si>
    <t>SUMIF memeriksa kolom Kategori (F) lalu hanya menjumlahkan Qty (H) pada baris yang kategorinya Elektronik.</t>
  </si>
  <si>
    <t>=SUMIFS(Data_Penjualan!$M$2:$M$61,Data_Penjualan!$G$2:$G$61,"Jakarta",Data_Penjualan!$K$2:$K$61,"Lunas")</t>
  </si>
  <si>
    <t>SUMIFS menjumlahkan M hanya jika Region = Jakarta DAN Status_Bayar = Lunas (logika AND).</t>
  </si>
  <si>
    <t>=AVERAGE(Data_Penjualan!$M$2:$M$61)</t>
  </si>
  <si>
    <t>AVERAGE = jumlah seluruh nilai dibagi banyaknya nilai (sama dengan SUM / COUNT).</t>
  </si>
  <si>
    <t>=AVERAGEIF(Data_Penjualan!$F$2:$F$61,"Aksesoris",Data_Penjualan!$H$2:$H$61)</t>
  </si>
  <si>
    <t>AVERAGEIF hanya merata-ratakan Qty pada baris berkategori Aksesoris.</t>
  </si>
  <si>
    <t>=AVERAGEIFS(Data_Penjualan!$M$2:$M$61,Data_Penjualan!$L$2:$L$61,"Siti Rahmawati",Data_Penjualan!$K$2:$K$61,"Lunas")</t>
  </si>
  <si>
    <t>AVERAGEIFS menerapkan beberapa syarat (AND) sebelum menghitung rata-rata.</t>
  </si>
  <si>
    <t>=COUNT(Data_Penjualan!$C$2:$C$61)</t>
  </si>
  <si>
    <t>COUNT hanya menghitung sel berisi angka / tanggal; sel kosong tidak dihitung.</t>
  </si>
  <si>
    <t>=COUNTBLANK(Data_Penjualan!$C$2:$C$61)</t>
  </si>
  <si>
    <t>Cara lain: =COUNTA(Data_Penjualan!$A$2:$A$61)-COUNT(Data_Penjualan!$C$2:$C$61). Keduanya harus menghasilkan angka sama.</t>
  </si>
  <si>
    <t>=COUNTIFS(Data_Penjualan!$G$2:$G$61,"Jawa Timur",Data_Penjualan!$K$2:$K$61,"Belum Lunas")</t>
  </si>
  <si>
    <t>COUNTIFS menghitung baris yang memenuhi semua syarat sekaligus.</t>
  </si>
  <si>
    <t>=MAX(Data_Penjualan!$M$2:$M$61)</t>
  </si>
  <si>
    <t>MAX mengembalikan angka terbesar pada rentang.</t>
  </si>
  <si>
    <t>=MIN(Data_Penjualan!$B$2:$B$61)</t>
  </si>
  <si>
    <t>Tanggal adalah angka serial, sehingga MIN menghasilkan tanggal paling awal. Jika tampil angka besar, ubah Format Cells menjadi Date.</t>
  </si>
  <si>
    <t>=MAX(Data_Penjualan!$M$2:$M$61)-MIN(Data_Penjualan!$M$2:$M$61)</t>
  </si>
  <si>
    <t>Range = MAX - MIN; gambaran sederhana tentang sebaran data.</t>
  </si>
  <si>
    <t>=MAXIFS(Data_Penjualan!$M$2:$M$61,Data_Penjualan!$F$2:$F$61,"Furniture")</t>
  </si>
  <si>
    <t>MAXIFS = MAX bersyarat. Pada Excel lama, gunakan array: =MAX(IF(F2:F61="Furniture",M2:M61)) dengan Ctrl+Shift+Enter.</t>
  </si>
  <si>
    <t>=TRIM(Data_Karyawan!B2)</t>
  </si>
  <si>
    <t>TRIM menghapus spasi di awal dan akhir teks. Hasil masih huruf kecil - akan dirapikan pada latihan PROPER.</t>
  </si>
  <si>
    <t>=LEN(Data_Karyawan!D2)-LEN(TRIM(Data_Karyawan!D2))</t>
  </si>
  <si>
    <t>LEN asli dikurangi LEN setelah TRIM = jumlah spasi yang dibuang.</t>
  </si>
  <si>
    <t>=SUMPRODUCT(--(LEN(Data_Karyawan!$D$2:$D$21)&lt;&gt;LEN(TRIM(Data_Karyawan!$D$2:$D$21))))</t>
  </si>
  <si>
    <t>Untuk setiap baris, jika panjang teks asli berbeda dengan panjang setelah TRIM berarti ada spasi berlebih; SUMPRODUCT menjumlahkan semua yang bernilai 1.</t>
  </si>
  <si>
    <t>UPPER mengubah setiap huruf menjadi kapital.</t>
  </si>
  <si>
    <t>TRIM bekerja lebih dulu (bagian dalam), lalu LOWER mengubah ke huruf kecil. Seluruh kolom ada di sheet Kunci_Kolom_Karyawan.</t>
  </si>
  <si>
    <t>=PROPER(TRIM(Data_Karyawan!D2))</t>
  </si>
  <si>
    <t>PROPER membuat huruf pertama tiap kata kapital dan sisanya kecil.</t>
  </si>
  <si>
    <t>=CONCAT(PROPER(TRIM(Data_Karyawan!B2))," ",PROPER(TRIM(Data_Karyawan!C2)))</t>
  </si>
  <si>
    <t>Setara dengan operator &amp;: =PROPER(TRIM(B2))&amp;" "&amp;PROPER(TRIM(C2)).</t>
  </si>
  <si>
    <t>=LOWER(CONCAT(LEFT(TRIM(Data_Karyawan!B2),1),TRIM(Data_Karyawan!C2)))</t>
  </si>
  <si>
    <t>LEFT mengambil inisial, CONCAT menggabungkan dengan nama belakang, LOWER mengecilkan semua huruf.</t>
  </si>
  <si>
    <t>=CONCAT(UPPER(LEFT(Data_Karyawan!E2,3)),"-",RIGHT(Data_Karyawan!A2,3))</t>
  </si>
  <si>
    <t>LEFT mengambil 3 karakter dari kiri, RIGHT 3 karakter dari kanan; UPPER membuat kapital; CONCAT menggabungkan dengan tanda hubung.</t>
  </si>
  <si>
    <t>=SUBSTITUTE(Data_Karyawan!H2,"-","")</t>
  </si>
  <si>
    <t>SUBSTITUTE mengganti SEMUA kemunculan "-" dengan teks kosong.</t>
  </si>
  <si>
    <t>=REPLACE(SUBSTITUTE(Data_Karyawan!H2,"-",""),1,1,"+62")</t>
  </si>
  <si>
    <t>REPLACE bekerja berdasarkan posisi: mulai dari karakter ke-1, ganti 1 karakter dengan "+62".</t>
  </si>
  <si>
    <t>=REPLACE(SUBSTITUTE(Data_Karyawan!H2,"-",""),5,4,"****")</t>
  </si>
  <si>
    <t>SUBSTITUTE membersihkan tanda "-", lalu REPLACE mengganti 4 karakter mulai posisi ke-5 dengan "****".</t>
  </si>
  <si>
    <t>=IF(Data_Penjualan!M2&gt;=10000000,"Besar","Kecil")</t>
  </si>
  <si>
    <t>IF menguji kondisi: jika benar tampil "Besar", jika salah "Kecil".</t>
  </si>
  <si>
    <t>=IF(Data_Penjualan!M2&gt;=20000000,"Besar",IF(Data_Penjualan!M2&gt;=5000000,"Sedang","Kecil"))</t>
  </si>
  <si>
    <t>Kondisi paling ketat (&gt;= 20 juta) dicek lebih dulu. Jika salah, lanjut ke IF kedua. Hasil seluruh kolom ada di sheet Kunci_Kolom_Penjualan.</t>
  </si>
  <si>
    <t>=IF(AND(Data_Penjualan!K2&lt;&gt;"Lunas",Data_Penjualan!M2&gt;=10000000),"Prioritas Tagih",IF(Data_Penjualan!K2&lt;&gt;"Lunas","Tagih Biasa","Selesai"))</t>
  </si>
  <si>
    <t>AND menggabungkan dua syarat. Jika gagal, IF kedua memeriksa apakah belum lunas saja.</t>
  </si>
  <si>
    <t>=COUNTIF(Data_Penjualan!$M$2:$M$61,"&gt;=20000000")</t>
  </si>
  <si>
    <t>Cek silang: hasil ini harus sama dengan jumlah baris "Besar" pada kolom R hasil latihan IF kedua (=COUNTIF(R2:R61,"Besar")).</t>
  </si>
  <si>
    <t>=DATEDIF(Data_Karyawan!F2,Data_Karyawan!$V$2,"y")</t>
  </si>
  <si>
    <t>Satuan "y" = jumlah tahun penuh antara dua tanggal.</t>
  </si>
  <si>
    <t>=DATEDIF(Data_Karyawan!G2,Data_Karyawan!$V$2,"y")&amp;" tahun "&amp;DATEDIF(Data_Karyawan!G2,Data_Karyawan!$V$2,"ym")&amp;" bulan"</t>
  </si>
  <si>
    <t>"ym" menghitung sisa bulan SETELAH tahun penuh dikeluarkan, sehingga tidak dobel hitung.</t>
  </si>
  <si>
    <t>=IF(Data_Penjualan!C2="","Belum dikirim",DATEDIF(Data_Penjualan!B2,Data_Penjualan!C2,"d"))</t>
  </si>
  <si>
    <t>Tanpa IF, baris yang Tgl_Kirim-nya kosong akan menghasilkan error NUM. Satuan "d" = selisih hari.</t>
  </si>
  <si>
    <t>=AVERAGE(Data_Penjualan!$Q$2:$Q$61)</t>
  </si>
  <si>
    <t>Kolom Q berisi angka atau teks; AVERAGE hanya memproses angka. (Pada file ini, hasil membaca kolom yang sama di sheet Kunci_Kolom_Penjualan.)</t>
  </si>
  <si>
    <t>=COUNTIF(Data_Karyawan!$G$2:$G$21,"&lt;="&amp;EDATE(Data_Karyawan!$V$2,-60))</t>
  </si>
  <si>
    <t>Karyawan bermasa kerja &gt;= 5 tahun = masuk pada atau sebelum tanggal (acuan dikurangi 60 bulan).</t>
  </si>
  <si>
    <t>=VLOOKUP(Data_Penjualan!E2,Master_Produk!$A$2:$F$11,2,FALSE)</t>
  </si>
  <si>
    <t>Kunci (Kode_Produk) dicari di kolom pertama Master_Produk; angka 2 = ambil kolom ke-2 (Nama_Produk); FALSE = exact match.</t>
  </si>
  <si>
    <t>=VLOOKUP(Data_Penjualan!E2,Master_Produk!$A$2:$F$11,4,FALSE)</t>
  </si>
  <si>
    <t>Rumus sama seperti latihan sebelumnya, hanya nomor kolom diganti 4.</t>
  </si>
  <si>
    <t>=Data_Penjualan!M2-Data_Penjualan!H2*VLOOKUP(Data_Penjualan!E2,Master_Produk!$A$2:$F$11,4,FALSE)</t>
  </si>
  <si>
    <t>Laba = pendapatan bersih (setelah diskon) dikurangi total modal. Jika kolom O sudah ada, cukup =M2-H2*O2.</t>
  </si>
  <si>
    <t>=IFERROR(VLOOKUP("P999",Master_Produk!$A$2:$F$11,5,FALSE),"Tidak ditemukan")</t>
  </si>
  <si>
    <t>Kode P999 tidak ada, VLOOKUP menghasilkan error N/A; IFERROR menggantinya dengan teks yang ramah dibaca.</t>
  </si>
  <si>
    <t>=HLOOKUP("Jawa Tengah",Target_Region!$A$1:$F$4,2,FALSE)</t>
  </si>
  <si>
    <t>HLOOKUP mencari "Jawa Tengah" di baris pertama, lalu mengambil nilai pada baris ke-2.</t>
  </si>
  <si>
    <t>=HLOOKUP(Data_Penjualan!G2,Target_Region!$A$1:$F$4,3,FALSE)</t>
  </si>
  <si>
    <t>Nilai dicari berasal dari sel (bukan teks tetap) sehingga rumus bisa disalin ke seluruh baris.</t>
  </si>
  <si>
    <t>=SUMIF(Data_Penjualan!$G$2:$G$61,"Jakarta",Data_Penjualan!$M$2:$M$61)/HLOOKUP("Jakarta",Target_Region!$A$1:$F$4,2,FALSE)</t>
  </si>
  <si>
    <t>Menggabungkan dua sumber: realisasi dari data transaksi (SUMIF) dan target dari tabel horizontal (HLOOKUP).</t>
  </si>
  <si>
    <t>Langkah: blok tabel Kategori &gt; Insert &gt; Charts &gt; Clustered Column &gt; beri judul dan Data Labels.</t>
  </si>
  <si>
    <t>Hasil = nama kategori dengan batang tertinggi (dibaca dari tabel acuan). Grafik contoh ada di sheet Kunci_Pivot_Chart; beri judul "Total Penjualan per Kategori" dan tambahkan Data Labels.</t>
  </si>
  <si>
    <t>Langkah: blok Bulan + Total_Penjualan &gt; Insert &gt; Charts &gt; Line with Markers &gt; beri judul dan label sumbu.</t>
  </si>
  <si>
    <t>Garis memperlihatkan naik-turun penjualan antar bulan. Hasil: label bulan dengan titik tertinggi. Grafik contoh ada di sheet Kunci_Pivot_Chart.</t>
  </si>
  <si>
    <t>Langkah: blok Region, Total_Penjualan, Target &gt; Insert &gt; Charts &gt; Combo &gt; batang untuk penjualan, garis untuk target.</t>
  </si>
  <si>
    <t>Series Total_Penjualan = Clustered Column, series Target = Line. Persentase pencapaian total dihitung dari baris Grand Total tabel. Grafik contoh ada di sheet Kunci_Pivot_Chart.</t>
  </si>
  <si>
    <t>Langkah: Insert &gt; PivotTable &gt; Rows: Kategori | Values: Sum of Total_Penjualan.</t>
  </si>
  <si>
    <t>Grand Total PivotTable harus sama dengan =SUM(Total_Penjualan). Tabel pembanding ada di sheet Kunci_Pivot_Chart (blok A).</t>
  </si>
  <si>
    <t>Langkah: Rows: Region | Columns: Kategori | Values: Sum of Total_Penjualan. Cek dengan =SUMIFS(M, G,"Jakarta", F,"Elektronik").</t>
  </si>
  <si>
    <t>PivotTable dua dimensi (matriks). Nilai pada pertemuan baris Jakarta dan kolom Elektronik harus sama dengan hasil SUMIFS ini. Tabel pembanding: blok B di Kunci_Pivot_Chart.</t>
  </si>
  <si>
    <t>Langkah: Rows: Sales_Rep | Values: Count of ID_Transaksi + Sum of Total_Penjualan &gt; Sort Largest to Smallest.</t>
  </si>
  <si>
    <t>Value Field Settings memungkinkan memilih Sum, Count, Average, dll. Tabel pembanding: blok C di Kunci_Pivot_Chart (sudah diurutkan menurun).</t>
  </si>
  <si>
    <t>Langkah: Rows: Tgl_Order (Group &gt; Months) | Values: Sum of Total_Penjualan | Slicer: Status_Bayar = Lunas.</t>
  </si>
  <si>
    <t>Group by Months mengelompokkan tanggal otomatis; Slicer menyaring status. Cek dengan SUMIFS yang memakai batas tanggal awal dan akhir bulan.</t>
  </si>
  <si>
    <t>Kunci kolom bantu N-S pada Data_Penjualan (Nama_Produk s.d. Prioritas_Tagih). Baris sejajar dengan sheet Data_Penjualan. Seluruhnya rumus hidup.</t>
  </si>
  <si>
    <t>Kunci kolom bantu K-T pada Data_Karyawan. Baris sejajar dengan sheet Data_Karyawan. Seluruhnya rumus hidup.</t>
  </si>
  <si>
    <t>Kunci PivotTable dan Charting</t>
  </si>
  <si>
    <t>Tabel di bawah dihitung dengan SUMIFS / COUNTIFS sebagai pembanding hasil PivotTable Anda. Grafik di sebelah kanan adalah contoh hasil akhir untuk latihan Charting.</t>
  </si>
  <si>
    <t>A. Pivot 1 - Total penjualan per Kategori</t>
  </si>
  <si>
    <t>Jumlah_Transaksi</t>
  </si>
  <si>
    <t>Kontribusi</t>
  </si>
  <si>
    <t>Grand Total</t>
  </si>
  <si>
    <t>B. Pivot 2 - Region (baris) x Kategori (kolom)</t>
  </si>
  <si>
    <t>C. Pivot 3 - Per Sales_Rep (diurutkan dari total terbesar)</t>
  </si>
  <si>
    <t>Rata2_per_Transaksi</t>
  </si>
  <si>
    <t>D. Pivot 4 - Total penjualan per bulan (Group Tgl_Order by Months)</t>
  </si>
  <si>
    <t>Bulan</t>
  </si>
  <si>
    <t>Awal_Bulan</t>
  </si>
  <si>
    <t>Jan 2026</t>
  </si>
  <si>
    <t>Feb 2026</t>
  </si>
  <si>
    <t>Mar 2026</t>
  </si>
  <si>
    <t>Apr 2026</t>
  </si>
  <si>
    <t>Mei 2026</t>
  </si>
  <si>
    <t>Jun 2026</t>
  </si>
  <si>
    <t>Jul 2026</t>
  </si>
  <si>
    <t>Agu 2026</t>
  </si>
  <si>
    <t>Sep 2026</t>
  </si>
  <si>
    <t>E. Chart 3 - Realisasi vs Target per Region</t>
  </si>
  <si>
    <t>Target</t>
  </si>
  <si>
    <t>Pencapaian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</si>
</sst>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164" formatCode="&quot;Rp &quot;#,##0"/>
    <numFmt numFmtId="165" formatCode="0.0"/>
    <numFmt numFmtId="166" formatCode="dd/mm/yyyy"/>
    <numFmt numFmtId="167" formatCode="0.0%"/>
    <numFmt numFmtId="168" formatCode="_-[$Rp-3809]* #,##0.00_-;\-[$Rp-3809]* #,##0.00_-;_-[$Rp-3809]* &quot;-&quot;??_-;_-@_-"/>
  </numFmts>
  <fonts count="16" x14ac:knownFonts="1">
    <font>
      <sz val="11"/>
      <color theme="1"/>
      <name val="Calibri"/>
      <family val="2"/>
      <charset val="1"/>
    </font>
    <font>
      <sz val="10"/>
      <name val="Arial"/>
    </font>
    <font>
      <b/>
      <sz val="18"/>
      <color rgb="FF1F3864"/>
      <name val="Arial"/>
      <charset val="1"/>
    </font>
    <font>
      <i/>
      <sz val="10"/>
      <color rgb="FF404040"/>
      <name val="Arial"/>
      <charset val="1"/>
    </font>
    <font>
      <b/>
      <sz val="12"/>
      <color rgb="FFFFFFFF"/>
      <name val="Arial"/>
      <charset val="1"/>
    </font>
    <font>
      <b/>
      <sz val="10"/>
      <color rgb="FFFFFFFF"/>
      <name val="Arial"/>
      <charset val="1"/>
    </font>
    <font>
      <u/>
      <sz val="10"/>
      <color rgb="FF0563C1"/>
      <name val="Arial"/>
      <charset val="1"/>
    </font>
    <font>
      <sz val="10"/>
      <color rgb="FF000000"/>
      <name val="Arial"/>
      <charset val="1"/>
    </font>
    <font>
      <b/>
      <sz val="10"/>
      <color rgb="FF000000"/>
      <name val="Arial"/>
      <charset val="1"/>
    </font>
    <font>
      <i/>
      <sz val="9"/>
      <color rgb="FF595959"/>
      <name val="Arial"/>
      <charset val="1"/>
    </font>
    <font>
      <b/>
      <sz val="10"/>
      <color rgb="FF0000FF"/>
      <name val="Arial"/>
      <charset val="1"/>
    </font>
    <font>
      <b/>
      <sz val="14"/>
      <color rgb="FF1F3864"/>
      <name val="Arial"/>
      <charset val="1"/>
    </font>
    <font>
      <i/>
      <sz val="10"/>
      <color rgb="FF595959"/>
      <name val="Arial"/>
      <charset val="1"/>
    </font>
    <font>
      <i/>
      <sz val="10"/>
      <color rgb="FF000000"/>
      <name val="Arial"/>
      <charset val="1"/>
    </font>
    <font>
      <sz val="10"/>
      <color rgb="FF404040"/>
      <name val="Arial"/>
      <charset val="1"/>
    </font>
    <font>
      <b/>
      <sz val="11"/>
      <color rgb="FF2E75B6"/>
      <name val="Arial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4A7EBB"/>
      </patternFill>
    </fill>
    <fill>
      <patternFill patternType="solid">
        <fgColor rgb="FF548235"/>
        <bgColor rgb="FF595959"/>
      </patternFill>
    </fill>
    <fill>
      <patternFill patternType="solid">
        <fgColor rgb="FFBF8F00"/>
        <bgColor rgb="FFED7D31"/>
      </patternFill>
    </fill>
    <fill>
      <patternFill patternType="solid">
        <fgColor rgb="FFFFFF00"/>
        <bgColor rgb="FFFFFF00"/>
      </patternFill>
    </fill>
    <fill>
      <patternFill patternType="solid">
        <fgColor rgb="FFC00000"/>
        <bgColor rgb="FF800000"/>
      </patternFill>
    </fill>
    <fill>
      <patternFill patternType="solid">
        <fgColor rgb="FFE2EFDA"/>
        <bgColor rgb="FFDDEBF7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DDEBF7"/>
        <b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44" fontId="1" fillId="0" borderId="0" applyBorder="0" applyAlignment="0" applyProtection="0"/>
  </cellStyleXfs>
  <cellXfs count="56">
    <xf numFmtId="0" fontId="0" fillId="0" borderId="0" xfId="0"/>
    <xf numFmtId="0" fontId="7" fillId="0" borderId="0" xfId="0" applyFont="1" applyAlignment="1">
      <alignment vertical="center"/>
    </xf>
    <xf numFmtId="0" fontId="7" fillId="0" borderId="0" xfId="0" applyFont="1" applyAlignment="1">
      <alignment vertical="top" wrapText="1"/>
    </xf>
    <xf numFmtId="0" fontId="9" fillId="0" borderId="0" xfId="0" applyFont="1" applyAlignment="1">
      <alignment vertical="top" wrapText="1"/>
    </xf>
    <xf numFmtId="0" fontId="4" fillId="2" borderId="0" xfId="0" applyFont="1" applyFill="1" applyAlignment="1">
      <alignment vertical="top" wrapText="1"/>
    </xf>
    <xf numFmtId="0" fontId="3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7" fillId="0" borderId="1" xfId="0" applyFont="1" applyBorder="1" applyAlignment="1">
      <alignment horizontal="center" vertical="top" wrapText="1"/>
    </xf>
    <xf numFmtId="0" fontId="9" fillId="0" borderId="0" xfId="0" applyFont="1" applyAlignment="1">
      <alignment vertical="top" wrapText="1"/>
    </xf>
    <xf numFmtId="0" fontId="5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top"/>
    </xf>
    <xf numFmtId="0" fontId="12" fillId="0" borderId="0" xfId="0" applyFont="1" applyAlignment="1">
      <alignment vertical="top"/>
    </xf>
    <xf numFmtId="0" fontId="7" fillId="8" borderId="1" xfId="0" applyFont="1" applyFill="1" applyBorder="1" applyAlignment="1">
      <alignment horizontal="center" vertical="top" wrapText="1"/>
    </xf>
    <xf numFmtId="3" fontId="7" fillId="0" borderId="1" xfId="0" applyNumberFormat="1" applyFont="1" applyBorder="1" applyAlignment="1">
      <alignment horizontal="left" vertical="top" wrapText="1"/>
    </xf>
    <xf numFmtId="164" fontId="7" fillId="0" borderId="1" xfId="0" applyNumberFormat="1" applyFont="1" applyBorder="1" applyAlignment="1">
      <alignment horizontal="left" vertical="top" wrapText="1"/>
    </xf>
    <xf numFmtId="165" fontId="7" fillId="0" borderId="1" xfId="0" applyNumberFormat="1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7" fillId="9" borderId="1" xfId="0" applyFont="1" applyFill="1" applyBorder="1" applyAlignment="1">
      <alignment horizontal="center" vertical="top" wrapText="1"/>
    </xf>
    <xf numFmtId="0" fontId="7" fillId="10" borderId="1" xfId="0" applyFont="1" applyFill="1" applyBorder="1" applyAlignment="1">
      <alignment horizontal="center" vertical="top" wrapText="1"/>
    </xf>
    <xf numFmtId="0" fontId="13" fillId="0" borderId="1" xfId="0" applyFont="1" applyBorder="1" applyAlignment="1">
      <alignment vertical="top" wrapText="1"/>
    </xf>
    <xf numFmtId="164" fontId="7" fillId="0" borderId="1" xfId="0" applyNumberFormat="1" applyFont="1" applyBorder="1" applyAlignment="1">
      <alignment vertical="top" wrapText="1"/>
    </xf>
    <xf numFmtId="0" fontId="7" fillId="0" borderId="1" xfId="0" applyFont="1" applyBorder="1" applyAlignment="1">
      <alignment vertical="top"/>
    </xf>
    <xf numFmtId="166" fontId="7" fillId="0" borderId="1" xfId="0" applyNumberFormat="1" applyFont="1" applyBorder="1" applyAlignment="1">
      <alignment vertical="top"/>
    </xf>
    <xf numFmtId="3" fontId="7" fillId="0" borderId="1" xfId="0" applyNumberFormat="1" applyFont="1" applyBorder="1" applyAlignment="1">
      <alignment vertical="top"/>
    </xf>
    <xf numFmtId="9" fontId="7" fillId="0" borderId="1" xfId="0" applyNumberFormat="1" applyFont="1" applyBorder="1" applyAlignment="1">
      <alignment vertical="top"/>
    </xf>
    <xf numFmtId="164" fontId="7" fillId="0" borderId="1" xfId="0" applyNumberFormat="1" applyFont="1" applyBorder="1" applyAlignment="1">
      <alignment vertical="top"/>
    </xf>
    <xf numFmtId="0" fontId="7" fillId="9" borderId="1" xfId="0" applyFont="1" applyFill="1" applyBorder="1" applyAlignment="1">
      <alignment vertical="top"/>
    </xf>
    <xf numFmtId="0" fontId="8" fillId="11" borderId="1" xfId="0" applyFont="1" applyFill="1" applyBorder="1" applyAlignment="1">
      <alignment vertical="top"/>
    </xf>
    <xf numFmtId="3" fontId="7" fillId="0" borderId="1" xfId="0" applyNumberFormat="1" applyFont="1" applyBorder="1" applyAlignment="1">
      <alignment horizontal="right" vertical="top"/>
    </xf>
    <xf numFmtId="166" fontId="10" fillId="6" borderId="1" xfId="0" applyNumberFormat="1" applyFont="1" applyFill="1" applyBorder="1" applyAlignment="1">
      <alignment vertical="top"/>
    </xf>
    <xf numFmtId="0" fontId="9" fillId="0" borderId="0" xfId="0" applyFont="1" applyAlignment="1">
      <alignment vertical="top"/>
    </xf>
    <xf numFmtId="0" fontId="7" fillId="0" borderId="1" xfId="0" applyFont="1" applyBorder="1" applyAlignment="1">
      <alignment horizontal="center" vertical="top"/>
    </xf>
    <xf numFmtId="0" fontId="14" fillId="0" borderId="1" xfId="0" applyFont="1" applyBorder="1" applyAlignment="1">
      <alignment vertical="top" wrapText="1"/>
    </xf>
    <xf numFmtId="164" fontId="8" fillId="8" borderId="1" xfId="0" applyNumberFormat="1" applyFont="1" applyFill="1" applyBorder="1" applyAlignment="1">
      <alignment horizontal="left" vertical="top" wrapText="1"/>
    </xf>
    <xf numFmtId="3" fontId="8" fillId="8" borderId="1" xfId="0" applyNumberFormat="1" applyFont="1" applyFill="1" applyBorder="1" applyAlignment="1">
      <alignment horizontal="left" vertical="top" wrapText="1"/>
    </xf>
    <xf numFmtId="165" fontId="8" fillId="8" borderId="1" xfId="0" applyNumberFormat="1" applyFont="1" applyFill="1" applyBorder="1" applyAlignment="1">
      <alignment horizontal="left" vertical="top" wrapText="1"/>
    </xf>
    <xf numFmtId="166" fontId="8" fillId="8" borderId="1" xfId="0" applyNumberFormat="1" applyFont="1" applyFill="1" applyBorder="1" applyAlignment="1">
      <alignment horizontal="left" vertical="top" wrapText="1"/>
    </xf>
    <xf numFmtId="0" fontId="8" fillId="8" borderId="1" xfId="0" applyFont="1" applyFill="1" applyBorder="1" applyAlignment="1">
      <alignment horizontal="left" vertical="top" wrapText="1"/>
    </xf>
    <xf numFmtId="167" fontId="8" fillId="8" borderId="1" xfId="0" applyNumberFormat="1" applyFont="1" applyFill="1" applyBorder="1" applyAlignment="1">
      <alignment horizontal="left" vertical="top" wrapText="1"/>
    </xf>
    <xf numFmtId="0" fontId="15" fillId="0" borderId="0" xfId="0" applyFont="1" applyAlignment="1">
      <alignment vertical="top"/>
    </xf>
    <xf numFmtId="167" fontId="7" fillId="0" borderId="1" xfId="0" applyNumberFormat="1" applyFont="1" applyBorder="1" applyAlignment="1">
      <alignment vertical="top"/>
    </xf>
    <xf numFmtId="164" fontId="8" fillId="11" borderId="1" xfId="0" applyNumberFormat="1" applyFont="1" applyFill="1" applyBorder="1" applyAlignment="1">
      <alignment vertical="top"/>
    </xf>
    <xf numFmtId="3" fontId="8" fillId="11" borderId="1" xfId="0" applyNumberFormat="1" applyFont="1" applyFill="1" applyBorder="1" applyAlignment="1">
      <alignment vertical="top"/>
    </xf>
    <xf numFmtId="167" fontId="8" fillId="11" borderId="1" xfId="0" applyNumberFormat="1" applyFont="1" applyFill="1" applyBorder="1" applyAlignment="1">
      <alignment vertical="top"/>
    </xf>
    <xf numFmtId="0" fontId="7" fillId="11" borderId="1" xfId="0" applyFont="1" applyFill="1" applyBorder="1" applyAlignment="1">
      <alignment vertical="top"/>
    </xf>
    <xf numFmtId="168" fontId="1" fillId="0" borderId="0" xfId="1" applyNumberFormat="1"/>
    <xf numFmtId="168" fontId="1" fillId="0" borderId="1" xfId="1" applyNumberFormat="1" applyBorder="1" applyAlignment="1">
      <alignment vertical="top"/>
    </xf>
    <xf numFmtId="0" fontId="1" fillId="0" borderId="1" xfId="1" applyNumberFormat="1" applyBorder="1" applyAlignment="1">
      <alignment vertical="top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78787"/>
      <rgbColor rgb="FF9999FF"/>
      <rgbColor rgb="FFBE4B48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BF8F00"/>
      <rgbColor rgb="FFED7D31"/>
      <rgbColor rgb="FF595959"/>
      <rgbColor rgb="FF4F81BD"/>
      <rgbColor rgb="FF1F3864"/>
      <rgbColor rgb="FF4A7EBB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D" sz="1800" b="1" strike="noStrike" spc="-1">
                <a:solidFill>
                  <a:srgbClr val="000000"/>
                </a:solidFill>
                <a:latin typeface="Calibri"/>
              </a:rPr>
              <a:t>Total Penjualan per Kategori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Kunci_Pivot_Chart!$B$5</c:f>
              <c:strCache>
                <c:ptCount val="1"/>
                <c:pt idx="0">
                  <c:v>Total_Penjualan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Kunci_Pivot_Chart!$A$6:$A$9</c:f>
              <c:strCache>
                <c:ptCount val="4"/>
                <c:pt idx="0">
                  <c:v>Elektronik</c:v>
                </c:pt>
                <c:pt idx="1">
                  <c:v>Furniture</c:v>
                </c:pt>
                <c:pt idx="2">
                  <c:v>Aksesoris</c:v>
                </c:pt>
                <c:pt idx="3">
                  <c:v>ATK</c:v>
                </c:pt>
              </c:strCache>
            </c:strRef>
          </c:cat>
          <c:val>
            <c:numRef>
              <c:f>Kunci_Pivot_Chart!$B$6:$B$9</c:f>
              <c:numCache>
                <c:formatCode>"Rp "#,##0</c:formatCode>
                <c:ptCount val="4"/>
                <c:pt idx="0">
                  <c:v>319630000</c:v>
                </c:pt>
                <c:pt idx="1">
                  <c:v>58050000</c:v>
                </c:pt>
                <c:pt idx="2">
                  <c:v>45884000</c:v>
                </c:pt>
                <c:pt idx="3">
                  <c:v>11024750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C9-4E80-B750-4E4CB39150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124764"/>
        <c:axId val="83352198"/>
      </c:barChart>
      <c:catAx>
        <c:axId val="4912476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D" sz="1000" b="1" strike="noStrike" spc="-1">
                    <a:solidFill>
                      <a:srgbClr val="000000"/>
                    </a:solidFill>
                    <a:latin typeface="Calibri"/>
                  </a:rPr>
                  <a:t>Kategori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3352198"/>
        <c:crosses val="autoZero"/>
        <c:auto val="1"/>
        <c:lblAlgn val="ctr"/>
        <c:lblOffset val="100"/>
        <c:noMultiLvlLbl val="0"/>
      </c:catAx>
      <c:valAx>
        <c:axId val="8335219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D" sz="1000" b="1" strike="noStrike" spc="-1">
                    <a:solidFill>
                      <a:srgbClr val="000000"/>
                    </a:solidFill>
                    <a:latin typeface="Calibri"/>
                  </a:rPr>
                  <a:t>Rupiah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912476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D" sz="1800" b="1" strike="noStrike" spc="-1">
                <a:solidFill>
                  <a:srgbClr val="000000"/>
                </a:solidFill>
                <a:latin typeface="Calibri"/>
              </a:rPr>
              <a:t>Tren Total Penjualan per Bulan (2026)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Kunci_Pivot_Chart!$C$30</c:f>
              <c:strCache>
                <c:ptCount val="1"/>
                <c:pt idx="0">
                  <c:v>Total_Penjualan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circle"/>
            <c:size val="5"/>
            <c:spPr>
              <a:solidFill>
                <a:srgbClr val="4A7EB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Kunci_Pivot_Chart!$A$31:$A$39</c:f>
              <c:strCache>
                <c:ptCount val="9"/>
                <c:pt idx="0">
                  <c:v>Jan 2026</c:v>
                </c:pt>
                <c:pt idx="1">
                  <c:v>Feb 2026</c:v>
                </c:pt>
                <c:pt idx="2">
                  <c:v>Mar 2026</c:v>
                </c:pt>
                <c:pt idx="3">
                  <c:v>Apr 2026</c:v>
                </c:pt>
                <c:pt idx="4">
                  <c:v>Mei 2026</c:v>
                </c:pt>
                <c:pt idx="5">
                  <c:v>Jun 2026</c:v>
                </c:pt>
                <c:pt idx="6">
                  <c:v>Jul 2026</c:v>
                </c:pt>
                <c:pt idx="7">
                  <c:v>Agu 2026</c:v>
                </c:pt>
                <c:pt idx="8">
                  <c:v>Sep 2026</c:v>
                </c:pt>
              </c:strCache>
            </c:strRef>
          </c:cat>
          <c:val>
            <c:numRef>
              <c:f>Kunci_Pivot_Chart!$C$31:$C$39</c:f>
              <c:numCache>
                <c:formatCode>"Rp "#,##0</c:formatCode>
                <c:ptCount val="9"/>
                <c:pt idx="0">
                  <c:v>28768000</c:v>
                </c:pt>
                <c:pt idx="1">
                  <c:v>44630000</c:v>
                </c:pt>
                <c:pt idx="2">
                  <c:v>48685000</c:v>
                </c:pt>
                <c:pt idx="3">
                  <c:v>19800000</c:v>
                </c:pt>
                <c:pt idx="4">
                  <c:v>5525000</c:v>
                </c:pt>
                <c:pt idx="5">
                  <c:v>64098000</c:v>
                </c:pt>
                <c:pt idx="6">
                  <c:v>61914000</c:v>
                </c:pt>
                <c:pt idx="7">
                  <c:v>87255000</c:v>
                </c:pt>
                <c:pt idx="8">
                  <c:v>73913750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31-42F0-B51C-66AA8B5AB6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54419810"/>
        <c:axId val="3810715"/>
      </c:lineChart>
      <c:catAx>
        <c:axId val="5441981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D" sz="1000" b="1" strike="noStrike" spc="-1">
                    <a:solidFill>
                      <a:srgbClr val="000000"/>
                    </a:solidFill>
                    <a:latin typeface="Calibri"/>
                  </a:rPr>
                  <a:t>Bulan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810715"/>
        <c:crosses val="autoZero"/>
        <c:auto val="1"/>
        <c:lblAlgn val="ctr"/>
        <c:lblOffset val="100"/>
        <c:noMultiLvlLbl val="0"/>
      </c:catAx>
      <c:valAx>
        <c:axId val="381071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D" sz="1000" b="1" strike="noStrike" spc="-1">
                    <a:solidFill>
                      <a:srgbClr val="000000"/>
                    </a:solidFill>
                    <a:latin typeface="Calibri"/>
                  </a:rPr>
                  <a:t>Rupiah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441981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D" sz="1800" b="1" strike="noStrike" spc="-1">
                <a:solidFill>
                  <a:srgbClr val="000000"/>
                </a:solidFill>
                <a:latin typeface="Calibri"/>
              </a:rPr>
              <a:t>Realisasi vs Target per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Kunci_Pivot_Chart!$B$43</c:f>
              <c:strCache>
                <c:ptCount val="1"/>
                <c:pt idx="0">
                  <c:v>Total_Penjualan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Kunci_Pivot_Chart!$A$44:$A$48</c:f>
              <c:strCache>
                <c:ptCount val="5"/>
                <c:pt idx="0">
                  <c:v>Jakarta</c:v>
                </c:pt>
                <c:pt idx="1">
                  <c:v>Jawa Barat</c:v>
                </c:pt>
                <c:pt idx="2">
                  <c:v>Jawa Tengah</c:v>
                </c:pt>
                <c:pt idx="3">
                  <c:v>Jawa Timur</c:v>
                </c:pt>
                <c:pt idx="4">
                  <c:v>Sumatera</c:v>
                </c:pt>
              </c:strCache>
            </c:strRef>
          </c:cat>
          <c:val>
            <c:numRef>
              <c:f>Kunci_Pivot_Chart!$B$44:$B$48</c:f>
              <c:numCache>
                <c:formatCode>"Rp "#,##0</c:formatCode>
                <c:ptCount val="5"/>
                <c:pt idx="0">
                  <c:v>57707000</c:v>
                </c:pt>
                <c:pt idx="1">
                  <c:v>67883750</c:v>
                </c:pt>
                <c:pt idx="2">
                  <c:v>106788000</c:v>
                </c:pt>
                <c:pt idx="3">
                  <c:v>47790000</c:v>
                </c:pt>
                <c:pt idx="4">
                  <c:v>154420000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A4-40C8-B53C-3394E8469A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75524"/>
        <c:axId val="67044658"/>
      </c:barChart>
      <c:lineChart>
        <c:grouping val="standard"/>
        <c:varyColors val="0"/>
        <c:ser>
          <c:idx val="1"/>
          <c:order val="1"/>
          <c:tx>
            <c:strRef>
              <c:f>Kunci_Pivot_Chart!$C$43</c:f>
              <c:strCache>
                <c:ptCount val="1"/>
                <c:pt idx="0">
                  <c:v>Target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diamond"/>
            <c:size val="5"/>
            <c:spPr>
              <a:solidFill>
                <a:srgbClr val="BE4B48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Kunci_Pivot_Chart!$A$44:$A$48</c:f>
              <c:strCache>
                <c:ptCount val="5"/>
                <c:pt idx="0">
                  <c:v>Jakarta</c:v>
                </c:pt>
                <c:pt idx="1">
                  <c:v>Jawa Barat</c:v>
                </c:pt>
                <c:pt idx="2">
                  <c:v>Jawa Tengah</c:v>
                </c:pt>
                <c:pt idx="3">
                  <c:v>Jawa Timur</c:v>
                </c:pt>
                <c:pt idx="4">
                  <c:v>Sumatera</c:v>
                </c:pt>
              </c:strCache>
            </c:strRef>
          </c:cat>
          <c:val>
            <c:numRef>
              <c:f>Kunci_Pivot_Chart!$C$44:$C$48</c:f>
              <c:numCache>
                <c:formatCode>"Rp "#,##0</c:formatCode>
                <c:ptCount val="5"/>
                <c:pt idx="0">
                  <c:v>75000000</c:v>
                </c:pt>
                <c:pt idx="1">
                  <c:v>60000000</c:v>
                </c:pt>
                <c:pt idx="2">
                  <c:v>100000000</c:v>
                </c:pt>
                <c:pt idx="3">
                  <c:v>55000000</c:v>
                </c:pt>
                <c:pt idx="4">
                  <c:v>140000000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A4-40C8-B53C-3394E8469A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75524"/>
        <c:axId val="67044658"/>
      </c:lineChart>
      <c:catAx>
        <c:axId val="47552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D" sz="1000" b="1" strike="noStrike" spc="-1">
                    <a:solidFill>
                      <a:srgbClr val="000000"/>
                    </a:solidFill>
                    <a:latin typeface="Calibri"/>
                  </a:rPr>
                  <a:t>Region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7044658"/>
        <c:crosses val="autoZero"/>
        <c:auto val="1"/>
        <c:lblAlgn val="ctr"/>
        <c:lblOffset val="100"/>
        <c:noMultiLvlLbl val="0"/>
      </c:catAx>
      <c:valAx>
        <c:axId val="6704465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D" sz="1000" b="1" strike="noStrike" spc="-1">
                    <a:solidFill>
                      <a:srgbClr val="000000"/>
                    </a:solidFill>
                    <a:latin typeface="Calibri"/>
                  </a:rPr>
                  <a:t>Rupiah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7552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</xdr:row>
      <xdr:rowOff>160920</xdr:rowOff>
    </xdr:from>
    <xdr:to>
      <xdr:col>17</xdr:col>
      <xdr:colOff>4320</xdr:colOff>
      <xdr:row>17</xdr:row>
      <xdr:rowOff>2880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19</xdr:row>
      <xdr:rowOff>160560</xdr:rowOff>
    </xdr:from>
    <xdr:to>
      <xdr:col>17</xdr:col>
      <xdr:colOff>4320</xdr:colOff>
      <xdr:row>33</xdr:row>
      <xdr:rowOff>80640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36</xdr:row>
      <xdr:rowOff>48240</xdr:rowOff>
    </xdr:from>
    <xdr:to>
      <xdr:col>17</xdr:col>
      <xdr:colOff>4320</xdr:colOff>
      <xdr:row>50</xdr:row>
      <xdr:rowOff>81000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  <pageSetUpPr fitToPage="1"/>
  </sheetPr>
  <dimension ref="B1:G48"/>
  <sheetViews>
    <sheetView showGridLines="0" tabSelected="1" zoomScaleNormal="100" workbookViewId="0"/>
  </sheetViews>
  <sheetFormatPr defaultColWidth="8.6640625" defaultRowHeight="14.4" x14ac:dyDescent="0.3"/>
  <cols>
    <col min="1" max="1" width="3" customWidth="1"/>
    <col min="2" max="2" width="26" customWidth="1"/>
    <col min="3" max="3" width="48" customWidth="1"/>
    <col min="4" max="4" width="42" customWidth="1"/>
    <col min="5" max="5" width="32" customWidth="1"/>
    <col min="6" max="7" width="14" customWidth="1"/>
  </cols>
  <sheetData>
    <row r="1" spans="2:7" ht="30" customHeight="1" x14ac:dyDescent="0.3">
      <c r="B1" s="6" t="s">
        <v>0</v>
      </c>
      <c r="C1" s="6"/>
      <c r="D1" s="6"/>
      <c r="E1" s="6"/>
      <c r="F1" s="6"/>
      <c r="G1" s="6"/>
    </row>
    <row r="2" spans="2:7" ht="30" customHeight="1" x14ac:dyDescent="0.3">
      <c r="B2" s="5" t="s">
        <v>1</v>
      </c>
      <c r="C2" s="5"/>
      <c r="D2" s="5"/>
      <c r="E2" s="5"/>
      <c r="F2" s="5"/>
      <c r="G2" s="5"/>
    </row>
    <row r="4" spans="2:7" ht="17.25" customHeight="1" x14ac:dyDescent="0.3">
      <c r="B4" s="4" t="s">
        <v>2</v>
      </c>
      <c r="C4" s="4"/>
      <c r="D4" s="4"/>
      <c r="E4" s="4"/>
      <c r="F4" s="4"/>
      <c r="G4" s="4"/>
    </row>
    <row r="5" spans="2:7" x14ac:dyDescent="0.3">
      <c r="B5" s="7" t="s">
        <v>3</v>
      </c>
      <c r="C5" s="7" t="s">
        <v>4</v>
      </c>
      <c r="D5" s="7" t="s">
        <v>5</v>
      </c>
    </row>
    <row r="6" spans="2:7" ht="30" customHeight="1" x14ac:dyDescent="0.3">
      <c r="B6" s="8" t="s">
        <v>6</v>
      </c>
      <c r="C6" s="9" t="s">
        <v>7</v>
      </c>
      <c r="D6" s="9" t="s">
        <v>8</v>
      </c>
    </row>
    <row r="7" spans="2:7" ht="30" customHeight="1" x14ac:dyDescent="0.3">
      <c r="B7" s="8" t="s">
        <v>9</v>
      </c>
      <c r="C7" s="9" t="s">
        <v>10</v>
      </c>
      <c r="D7" s="9" t="s">
        <v>11</v>
      </c>
    </row>
    <row r="8" spans="2:7" ht="17.25" customHeight="1" x14ac:dyDescent="0.3">
      <c r="B8" s="8" t="s">
        <v>12</v>
      </c>
      <c r="C8" s="9" t="s">
        <v>13</v>
      </c>
      <c r="D8" s="9" t="s">
        <v>14</v>
      </c>
    </row>
    <row r="9" spans="2:7" ht="30" customHeight="1" x14ac:dyDescent="0.3">
      <c r="B9" s="8" t="s">
        <v>15</v>
      </c>
      <c r="C9" s="9" t="s">
        <v>16</v>
      </c>
      <c r="D9" s="9" t="s">
        <v>17</v>
      </c>
    </row>
    <row r="10" spans="2:7" ht="30" customHeight="1" x14ac:dyDescent="0.3">
      <c r="B10" s="8" t="s">
        <v>18</v>
      </c>
      <c r="C10" s="9" t="s">
        <v>19</v>
      </c>
      <c r="D10" s="9" t="s">
        <v>20</v>
      </c>
    </row>
    <row r="11" spans="2:7" ht="30" customHeight="1" x14ac:dyDescent="0.3">
      <c r="B11" s="8" t="s">
        <v>21</v>
      </c>
      <c r="C11" s="9" t="s">
        <v>22</v>
      </c>
      <c r="D11" s="9" t="s">
        <v>23</v>
      </c>
    </row>
    <row r="12" spans="2:7" ht="30" customHeight="1" x14ac:dyDescent="0.3">
      <c r="B12" s="8" t="s">
        <v>24</v>
      </c>
      <c r="C12" s="9" t="s">
        <v>25</v>
      </c>
      <c r="D12" s="9" t="s">
        <v>26</v>
      </c>
    </row>
    <row r="13" spans="2:7" ht="30" customHeight="1" x14ac:dyDescent="0.3">
      <c r="B13" s="8" t="s">
        <v>27</v>
      </c>
      <c r="C13" s="9" t="s">
        <v>28</v>
      </c>
      <c r="D13" s="9" t="s">
        <v>29</v>
      </c>
    </row>
    <row r="14" spans="2:7" ht="30" customHeight="1" x14ac:dyDescent="0.3">
      <c r="B14" s="8" t="s">
        <v>30</v>
      </c>
      <c r="C14" s="9" t="s">
        <v>31</v>
      </c>
      <c r="D14" s="9" t="s">
        <v>29</v>
      </c>
    </row>
    <row r="15" spans="2:7" ht="17.25" customHeight="1" x14ac:dyDescent="0.3">
      <c r="B15" s="8" t="s">
        <v>32</v>
      </c>
      <c r="C15" s="9" t="s">
        <v>33</v>
      </c>
      <c r="D15" s="9" t="s">
        <v>34</v>
      </c>
    </row>
    <row r="17" spans="2:7" ht="17.25" customHeight="1" x14ac:dyDescent="0.3">
      <c r="B17" s="4" t="s">
        <v>35</v>
      </c>
      <c r="C17" s="4"/>
      <c r="D17" s="4"/>
      <c r="E17" s="4"/>
      <c r="F17" s="4"/>
      <c r="G17" s="4"/>
    </row>
    <row r="18" spans="2:7" x14ac:dyDescent="0.3">
      <c r="B18" s="7" t="s">
        <v>36</v>
      </c>
      <c r="C18" s="7" t="s">
        <v>37</v>
      </c>
      <c r="D18" s="7" t="s">
        <v>38</v>
      </c>
      <c r="E18" s="7" t="s">
        <v>39</v>
      </c>
      <c r="F18" s="7" t="s">
        <v>40</v>
      </c>
      <c r="G18" s="7" t="s">
        <v>41</v>
      </c>
    </row>
    <row r="19" spans="2:7" ht="55.5" customHeight="1" x14ac:dyDescent="0.3">
      <c r="B19" s="10" t="s">
        <v>42</v>
      </c>
      <c r="C19" s="9" t="s">
        <v>43</v>
      </c>
      <c r="D19" s="9" t="s">
        <v>9</v>
      </c>
      <c r="E19" s="9" t="s">
        <v>44</v>
      </c>
      <c r="F19" s="11" t="s">
        <v>45</v>
      </c>
      <c r="G19" s="11" t="s">
        <v>46</v>
      </c>
    </row>
    <row r="20" spans="2:7" ht="42.75" customHeight="1" x14ac:dyDescent="0.3">
      <c r="B20" s="10" t="s">
        <v>47</v>
      </c>
      <c r="C20" s="9" t="s">
        <v>48</v>
      </c>
      <c r="D20" s="9" t="s">
        <v>18</v>
      </c>
      <c r="E20" s="9" t="s">
        <v>49</v>
      </c>
      <c r="F20" s="11" t="s">
        <v>50</v>
      </c>
      <c r="G20" s="11" t="s">
        <v>51</v>
      </c>
    </row>
    <row r="21" spans="2:7" ht="42.75" customHeight="1" x14ac:dyDescent="0.3">
      <c r="B21" s="10" t="s">
        <v>52</v>
      </c>
      <c r="C21" s="9" t="s">
        <v>53</v>
      </c>
      <c r="D21" s="9" t="s">
        <v>54</v>
      </c>
      <c r="E21" s="9" t="s">
        <v>55</v>
      </c>
      <c r="F21" s="11" t="s">
        <v>50</v>
      </c>
      <c r="G21" s="11" t="s">
        <v>56</v>
      </c>
    </row>
    <row r="22" spans="2:7" ht="30" customHeight="1" x14ac:dyDescent="0.3">
      <c r="B22" s="10" t="s">
        <v>57</v>
      </c>
      <c r="C22" s="9" t="s">
        <v>58</v>
      </c>
      <c r="D22" s="9" t="s">
        <v>59</v>
      </c>
      <c r="E22" s="9" t="s">
        <v>60</v>
      </c>
      <c r="F22" s="11" t="s">
        <v>61</v>
      </c>
      <c r="G22" s="11" t="s">
        <v>62</v>
      </c>
    </row>
    <row r="23" spans="2:7" ht="30" customHeight="1" x14ac:dyDescent="0.3">
      <c r="B23" s="10" t="s">
        <v>63</v>
      </c>
      <c r="C23" s="9" t="s">
        <v>64</v>
      </c>
      <c r="D23" s="9" t="s">
        <v>32</v>
      </c>
      <c r="E23" s="9" t="s">
        <v>65</v>
      </c>
      <c r="F23" s="11" t="s">
        <v>66</v>
      </c>
      <c r="G23" s="11" t="s">
        <v>67</v>
      </c>
    </row>
    <row r="24" spans="2:7" ht="42.75" customHeight="1" x14ac:dyDescent="0.3">
      <c r="B24" s="10" t="s">
        <v>68</v>
      </c>
      <c r="C24" s="9" t="s">
        <v>69</v>
      </c>
      <c r="D24" s="9" t="s">
        <v>9</v>
      </c>
      <c r="E24" s="9" t="s">
        <v>70</v>
      </c>
      <c r="F24" s="11" t="s">
        <v>61</v>
      </c>
      <c r="G24" s="11" t="s">
        <v>71</v>
      </c>
    </row>
    <row r="25" spans="2:7" ht="17.25" customHeight="1" x14ac:dyDescent="0.3">
      <c r="B25" s="3" t="s">
        <v>72</v>
      </c>
      <c r="C25" s="3"/>
      <c r="D25" s="3"/>
      <c r="E25" s="3"/>
      <c r="F25" s="3"/>
      <c r="G25" s="3"/>
    </row>
    <row r="27" spans="2:7" ht="17.25" customHeight="1" x14ac:dyDescent="0.3">
      <c r="B27" s="4" t="s">
        <v>73</v>
      </c>
      <c r="C27" s="4"/>
      <c r="D27" s="4"/>
      <c r="E27" s="4"/>
      <c r="F27" s="4"/>
      <c r="G27" s="4"/>
    </row>
    <row r="28" spans="2:7" ht="17.25" customHeight="1" x14ac:dyDescent="0.3">
      <c r="B28" s="2" t="s">
        <v>74</v>
      </c>
      <c r="C28" s="2"/>
      <c r="D28" s="2"/>
      <c r="E28" s="2"/>
      <c r="F28" s="2"/>
      <c r="G28" s="2"/>
    </row>
    <row r="29" spans="2:7" ht="17.25" customHeight="1" x14ac:dyDescent="0.3">
      <c r="B29" s="2" t="s">
        <v>75</v>
      </c>
      <c r="C29" s="2"/>
      <c r="D29" s="2"/>
      <c r="E29" s="2"/>
      <c r="F29" s="2"/>
      <c r="G29" s="2"/>
    </row>
    <row r="30" spans="2:7" ht="17.25" customHeight="1" x14ac:dyDescent="0.3">
      <c r="B30" s="2" t="s">
        <v>76</v>
      </c>
      <c r="C30" s="2"/>
      <c r="D30" s="2"/>
      <c r="E30" s="2"/>
      <c r="F30" s="2"/>
      <c r="G30" s="2"/>
    </row>
    <row r="31" spans="2:7" ht="17.25" customHeight="1" x14ac:dyDescent="0.3">
      <c r="B31" s="2" t="s">
        <v>77</v>
      </c>
      <c r="C31" s="2"/>
      <c r="D31" s="2"/>
      <c r="E31" s="2"/>
      <c r="F31" s="2"/>
      <c r="G31" s="2"/>
    </row>
    <row r="32" spans="2:7" ht="17.25" customHeight="1" x14ac:dyDescent="0.3">
      <c r="B32" s="2" t="s">
        <v>78</v>
      </c>
      <c r="C32" s="2"/>
      <c r="D32" s="2"/>
      <c r="E32" s="2"/>
      <c r="F32" s="2"/>
      <c r="G32" s="2"/>
    </row>
    <row r="33" spans="2:7" ht="17.25" customHeight="1" x14ac:dyDescent="0.3">
      <c r="B33" s="2" t="s">
        <v>79</v>
      </c>
      <c r="C33" s="2"/>
      <c r="D33" s="2"/>
      <c r="E33" s="2"/>
      <c r="F33" s="2"/>
      <c r="G33" s="2"/>
    </row>
    <row r="35" spans="2:7" ht="17.25" customHeight="1" x14ac:dyDescent="0.3">
      <c r="B35" s="4" t="s">
        <v>80</v>
      </c>
      <c r="C35" s="4"/>
      <c r="D35" s="4"/>
      <c r="E35" s="4"/>
      <c r="F35" s="4"/>
      <c r="G35" s="4"/>
    </row>
    <row r="36" spans="2:7" x14ac:dyDescent="0.3">
      <c r="B36" s="13" t="s">
        <v>81</v>
      </c>
      <c r="C36" s="1" t="s">
        <v>82</v>
      </c>
      <c r="D36" s="1"/>
      <c r="E36" s="1"/>
      <c r="F36" s="1"/>
      <c r="G36" s="1"/>
    </row>
    <row r="37" spans="2:7" x14ac:dyDescent="0.3">
      <c r="B37" s="14" t="s">
        <v>81</v>
      </c>
      <c r="C37" s="1" t="s">
        <v>83</v>
      </c>
      <c r="D37" s="1"/>
      <c r="E37" s="1"/>
      <c r="F37" s="1"/>
      <c r="G37" s="1"/>
    </row>
    <row r="38" spans="2:7" x14ac:dyDescent="0.3">
      <c r="B38" s="15" t="s">
        <v>81</v>
      </c>
      <c r="C38" s="1" t="s">
        <v>84</v>
      </c>
      <c r="D38" s="1"/>
      <c r="E38" s="1"/>
      <c r="F38" s="1"/>
      <c r="G38" s="1"/>
    </row>
    <row r="39" spans="2:7" x14ac:dyDescent="0.3">
      <c r="B39" s="16" t="s">
        <v>81</v>
      </c>
      <c r="C39" s="1" t="s">
        <v>85</v>
      </c>
      <c r="D39" s="1"/>
      <c r="E39" s="1"/>
      <c r="F39" s="1"/>
      <c r="G39" s="1"/>
    </row>
    <row r="40" spans="2:7" x14ac:dyDescent="0.3">
      <c r="B40" s="17" t="s">
        <v>81</v>
      </c>
      <c r="C40" s="1" t="s">
        <v>86</v>
      </c>
      <c r="D40" s="1"/>
      <c r="E40" s="1"/>
      <c r="F40" s="1"/>
      <c r="G40" s="1"/>
    </row>
    <row r="42" spans="2:7" ht="17.25" customHeight="1" x14ac:dyDescent="0.3">
      <c r="B42" s="4" t="s">
        <v>87</v>
      </c>
      <c r="C42" s="4"/>
      <c r="D42" s="4"/>
      <c r="E42" s="4"/>
      <c r="F42" s="4"/>
      <c r="G42" s="4"/>
    </row>
    <row r="43" spans="2:7" ht="17.25" customHeight="1" x14ac:dyDescent="0.3">
      <c r="B43" s="2" t="s">
        <v>88</v>
      </c>
      <c r="C43" s="2"/>
      <c r="D43" s="2"/>
      <c r="E43" s="2"/>
      <c r="F43" s="2"/>
      <c r="G43" s="2"/>
    </row>
    <row r="44" spans="2:7" ht="17.25" customHeight="1" x14ac:dyDescent="0.3">
      <c r="B44" s="2" t="s">
        <v>89</v>
      </c>
      <c r="C44" s="2"/>
      <c r="D44" s="2"/>
      <c r="E44" s="2"/>
      <c r="F44" s="2"/>
      <c r="G44" s="2"/>
    </row>
    <row r="45" spans="2:7" ht="17.25" customHeight="1" x14ac:dyDescent="0.3">
      <c r="B45" s="2" t="s">
        <v>90</v>
      </c>
      <c r="C45" s="2"/>
      <c r="D45" s="2"/>
      <c r="E45" s="2"/>
      <c r="F45" s="2"/>
      <c r="G45" s="2"/>
    </row>
    <row r="46" spans="2:7" ht="17.25" customHeight="1" x14ac:dyDescent="0.3">
      <c r="B46" s="2" t="s">
        <v>91</v>
      </c>
      <c r="C46" s="2"/>
      <c r="D46" s="2"/>
      <c r="E46" s="2"/>
      <c r="F46" s="2"/>
      <c r="G46" s="2"/>
    </row>
    <row r="47" spans="2:7" ht="17.25" customHeight="1" x14ac:dyDescent="0.3">
      <c r="B47" s="2" t="s">
        <v>92</v>
      </c>
      <c r="C47" s="2"/>
      <c r="D47" s="2"/>
      <c r="E47" s="2"/>
      <c r="F47" s="2"/>
      <c r="G47" s="2"/>
    </row>
    <row r="48" spans="2:7" ht="17.25" customHeight="1" x14ac:dyDescent="0.3">
      <c r="B48" s="2" t="s">
        <v>93</v>
      </c>
      <c r="C48" s="2"/>
      <c r="D48" s="2"/>
      <c r="E48" s="2"/>
      <c r="F48" s="2"/>
      <c r="G48" s="2"/>
    </row>
  </sheetData>
  <mergeCells count="25">
    <mergeCell ref="B44:G44"/>
    <mergeCell ref="B45:G45"/>
    <mergeCell ref="B46:G46"/>
    <mergeCell ref="B47:G47"/>
    <mergeCell ref="B48:G48"/>
    <mergeCell ref="C38:G38"/>
    <mergeCell ref="C39:G39"/>
    <mergeCell ref="C40:G40"/>
    <mergeCell ref="B42:G42"/>
    <mergeCell ref="B43:G43"/>
    <mergeCell ref="B32:G32"/>
    <mergeCell ref="B33:G33"/>
    <mergeCell ref="B35:G35"/>
    <mergeCell ref="C36:G36"/>
    <mergeCell ref="C37:G37"/>
    <mergeCell ref="B27:G27"/>
    <mergeCell ref="B28:G28"/>
    <mergeCell ref="B29:G29"/>
    <mergeCell ref="B30:G30"/>
    <mergeCell ref="B31:G31"/>
    <mergeCell ref="B1:G1"/>
    <mergeCell ref="B2:G2"/>
    <mergeCell ref="B4:G4"/>
    <mergeCell ref="B17:G17"/>
    <mergeCell ref="B25:G25"/>
  </mergeCells>
  <hyperlinks>
    <hyperlink ref="B6" location="'Penjelasan_Fungsi'!A1" display="Penjelasan_Fungsi" xr:uid="{00000000-0004-0000-0000-000000000000}"/>
    <hyperlink ref="B7" location="'Data_Penjualan'!A1" display="Data_Penjualan" xr:uid="{00000000-0004-0000-0000-000001000000}"/>
    <hyperlink ref="B8" location="'Master_Produk'!A1" display="Master_Produk" xr:uid="{00000000-0004-0000-0000-000002000000}"/>
    <hyperlink ref="B9" location="'Target_Region'!A1" display="Target_Region" xr:uid="{00000000-0004-0000-0000-000003000000}"/>
    <hyperlink ref="B10" location="'Data_Karyawan'!A1" display="Data_Karyawan" xr:uid="{00000000-0004-0000-0000-000004000000}"/>
    <hyperlink ref="B11" location="'Latihan'!A1" display="Latihan" xr:uid="{00000000-0004-0000-0000-000005000000}"/>
    <hyperlink ref="B12" location="'Kunci_Jawaban'!A1" display="Kunci_Jawaban" xr:uid="{00000000-0004-0000-0000-000006000000}"/>
    <hyperlink ref="B13" location="'Kunci_Kolom_Penjualan'!A1" display="Kunci_Kolom_Penjualan" xr:uid="{00000000-0004-0000-0000-000007000000}"/>
    <hyperlink ref="B14" location="'Kunci_Kolom_Karyawan'!A1" display="Kunci_Kolom_Karyawan" xr:uid="{00000000-0004-0000-0000-000008000000}"/>
    <hyperlink ref="B15" location="'Kunci_Pivot_Chart'!A1" display="Kunci_Pivot_Chart" xr:uid="{00000000-0004-0000-0000-000009000000}"/>
  </hyperlinks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  <pageSetUpPr fitToPage="1"/>
  </sheetPr>
  <dimension ref="A1:I25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6" sqref="C6"/>
    </sheetView>
  </sheetViews>
  <sheetFormatPr defaultColWidth="8.6640625" defaultRowHeight="14.4" x14ac:dyDescent="0.3"/>
  <cols>
    <col min="1" max="1" width="5" customWidth="1"/>
    <col min="2" max="2" width="20" customWidth="1"/>
    <col min="3" max="3" width="11" customWidth="1"/>
    <col min="4" max="5" width="38" customWidth="1"/>
    <col min="6" max="7" width="44" customWidth="1"/>
    <col min="8" max="8" width="22" customWidth="1"/>
    <col min="9" max="9" width="52" customWidth="1"/>
  </cols>
  <sheetData>
    <row r="1" spans="1:9" ht="17.399999999999999" x14ac:dyDescent="0.3">
      <c r="A1" s="18" t="s">
        <v>94</v>
      </c>
    </row>
    <row r="2" spans="1:9" x14ac:dyDescent="0.3">
      <c r="A2" s="19" t="s">
        <v>95</v>
      </c>
    </row>
    <row r="4" spans="1:9" x14ac:dyDescent="0.3">
      <c r="A4" s="13" t="s">
        <v>96</v>
      </c>
      <c r="B4" s="13" t="s">
        <v>97</v>
      </c>
      <c r="C4" s="13" t="s">
        <v>98</v>
      </c>
      <c r="D4" s="13" t="s">
        <v>99</v>
      </c>
      <c r="E4" s="13" t="s">
        <v>100</v>
      </c>
      <c r="F4" s="13" t="s">
        <v>101</v>
      </c>
      <c r="G4" s="13" t="s">
        <v>102</v>
      </c>
      <c r="H4" s="13" t="s">
        <v>103</v>
      </c>
      <c r="I4" s="13" t="s">
        <v>104</v>
      </c>
    </row>
    <row r="5" spans="1:9" ht="42.75" customHeight="1" x14ac:dyDescent="0.3">
      <c r="A5" s="11">
        <v>1</v>
      </c>
      <c r="B5" s="10" t="s">
        <v>105</v>
      </c>
      <c r="C5" s="20" t="s">
        <v>106</v>
      </c>
      <c r="D5" s="9" t="s">
        <v>107</v>
      </c>
      <c r="E5" s="9" t="s">
        <v>108</v>
      </c>
      <c r="F5" s="9" t="s">
        <v>109</v>
      </c>
      <c r="G5" s="9" t="s">
        <v>110</v>
      </c>
      <c r="H5" s="21">
        <f>SUM(Data_Penjualan!$H$2:$H$61)</f>
        <v>467</v>
      </c>
      <c r="I5" s="9" t="s">
        <v>111</v>
      </c>
    </row>
    <row r="6" spans="1:9" ht="55.5" customHeight="1" x14ac:dyDescent="0.3">
      <c r="A6" s="11">
        <v>2</v>
      </c>
      <c r="B6" s="10" t="s">
        <v>112</v>
      </c>
      <c r="C6" s="20" t="s">
        <v>106</v>
      </c>
      <c r="D6" s="9" t="s">
        <v>113</v>
      </c>
      <c r="E6" s="9" t="s">
        <v>114</v>
      </c>
      <c r="F6" s="9" t="s">
        <v>115</v>
      </c>
      <c r="G6" s="9" t="s">
        <v>116</v>
      </c>
      <c r="H6" s="22">
        <f>SUMIF(Data_Penjualan!$F$2:$F$61,"Furniture",Data_Penjualan!$M$2:$M$61)</f>
        <v>58050000</v>
      </c>
      <c r="I6" s="9" t="s">
        <v>117</v>
      </c>
    </row>
    <row r="7" spans="1:9" ht="69" customHeight="1" x14ac:dyDescent="0.3">
      <c r="A7" s="11">
        <v>3</v>
      </c>
      <c r="B7" s="10" t="s">
        <v>118</v>
      </c>
      <c r="C7" s="20" t="s">
        <v>106</v>
      </c>
      <c r="D7" s="9" t="s">
        <v>119</v>
      </c>
      <c r="E7" s="9" t="s">
        <v>120</v>
      </c>
      <c r="F7" s="9" t="s">
        <v>121</v>
      </c>
      <c r="G7" s="9" t="s">
        <v>122</v>
      </c>
      <c r="H7" s="23">
        <f>AVERAGE(Data_Penjualan!$H$2:$H$61)</f>
        <v>7.7833333333333332</v>
      </c>
      <c r="I7" s="9" t="s">
        <v>123</v>
      </c>
    </row>
    <row r="8" spans="1:9" ht="42.75" customHeight="1" x14ac:dyDescent="0.3">
      <c r="A8" s="11">
        <v>4</v>
      </c>
      <c r="B8" s="10" t="s">
        <v>124</v>
      </c>
      <c r="C8" s="20" t="s">
        <v>106</v>
      </c>
      <c r="D8" s="9" t="s">
        <v>125</v>
      </c>
      <c r="E8" s="9" t="s">
        <v>126</v>
      </c>
      <c r="F8" s="9" t="s">
        <v>127</v>
      </c>
      <c r="G8" s="9" t="s">
        <v>128</v>
      </c>
      <c r="H8" s="21">
        <f>COUNTA(Data_Penjualan!$A$2:$A$61)</f>
        <v>60</v>
      </c>
      <c r="I8" s="9" t="s">
        <v>129</v>
      </c>
    </row>
    <row r="9" spans="1:9" ht="42.75" customHeight="1" x14ac:dyDescent="0.3">
      <c r="A9" s="11">
        <v>5</v>
      </c>
      <c r="B9" s="10" t="s">
        <v>130</v>
      </c>
      <c r="C9" s="20" t="s">
        <v>106</v>
      </c>
      <c r="D9" s="9" t="s">
        <v>131</v>
      </c>
      <c r="E9" s="9" t="s">
        <v>132</v>
      </c>
      <c r="F9" s="9" t="s">
        <v>133</v>
      </c>
      <c r="G9" s="9" t="s">
        <v>134</v>
      </c>
      <c r="H9" s="21">
        <f>COUNTIF(Data_Penjualan!$K$2:$K$61,"Cicilan")</f>
        <v>7</v>
      </c>
      <c r="I9" s="9" t="s">
        <v>135</v>
      </c>
    </row>
    <row r="10" spans="1:9" ht="42.75" customHeight="1" x14ac:dyDescent="0.3">
      <c r="A10" s="11">
        <v>6</v>
      </c>
      <c r="B10" s="10" t="s">
        <v>136</v>
      </c>
      <c r="C10" s="20" t="s">
        <v>106</v>
      </c>
      <c r="D10" s="9" t="s">
        <v>137</v>
      </c>
      <c r="E10" s="9" t="s">
        <v>138</v>
      </c>
      <c r="F10" s="9" t="s">
        <v>139</v>
      </c>
      <c r="G10" s="9" t="s">
        <v>140</v>
      </c>
      <c r="H10" s="22">
        <f>MIN(Data_Karyawan!$J$2:$J$21)</f>
        <v>6500000</v>
      </c>
      <c r="I10" s="9" t="s">
        <v>141</v>
      </c>
    </row>
    <row r="11" spans="1:9" ht="42.75" customHeight="1" x14ac:dyDescent="0.3">
      <c r="A11" s="11">
        <v>7</v>
      </c>
      <c r="B11" s="10" t="s">
        <v>142</v>
      </c>
      <c r="C11" s="20" t="s">
        <v>106</v>
      </c>
      <c r="D11" s="9" t="s">
        <v>143</v>
      </c>
      <c r="E11" s="9" t="s">
        <v>144</v>
      </c>
      <c r="F11" s="9" t="s">
        <v>145</v>
      </c>
      <c r="G11" s="9" t="s">
        <v>146</v>
      </c>
      <c r="H11" s="22">
        <f>MAX(Data_Karyawan!$J$2:$J$21)</f>
        <v>25000000</v>
      </c>
      <c r="I11" s="9" t="s">
        <v>147</v>
      </c>
    </row>
    <row r="12" spans="1:9" ht="55.5" customHeight="1" x14ac:dyDescent="0.3">
      <c r="A12" s="11">
        <v>8</v>
      </c>
      <c r="B12" s="10" t="s">
        <v>148</v>
      </c>
      <c r="C12" s="20" t="s">
        <v>106</v>
      </c>
      <c r="D12" s="9" t="s">
        <v>149</v>
      </c>
      <c r="E12" s="9" t="s">
        <v>150</v>
      </c>
      <c r="F12" s="9" t="s">
        <v>151</v>
      </c>
      <c r="G12" s="9" t="s">
        <v>152</v>
      </c>
      <c r="H12" s="24" t="str">
        <f>TRIM(Data_Karyawan!D2)</f>
        <v>Sales Executive</v>
      </c>
      <c r="I12" s="9" t="s">
        <v>153</v>
      </c>
    </row>
    <row r="13" spans="1:9" ht="30" customHeight="1" x14ac:dyDescent="0.3">
      <c r="A13" s="11">
        <v>9</v>
      </c>
      <c r="B13" s="10" t="s">
        <v>154</v>
      </c>
      <c r="C13" s="20" t="s">
        <v>106</v>
      </c>
      <c r="D13" s="9" t="s">
        <v>155</v>
      </c>
      <c r="E13" s="9" t="s">
        <v>156</v>
      </c>
      <c r="F13" s="9" t="s">
        <v>157</v>
      </c>
      <c r="G13" s="9" t="s">
        <v>158</v>
      </c>
      <c r="H13" s="24" t="str">
        <f>UPPER(Data_Karyawan!E2)</f>
        <v>SALES</v>
      </c>
      <c r="I13" s="9" t="s">
        <v>159</v>
      </c>
    </row>
    <row r="14" spans="1:9" ht="42.75" customHeight="1" x14ac:dyDescent="0.3">
      <c r="A14" s="11">
        <v>10</v>
      </c>
      <c r="B14" s="10" t="s">
        <v>160</v>
      </c>
      <c r="C14" s="20" t="s">
        <v>106</v>
      </c>
      <c r="D14" s="9" t="s">
        <v>161</v>
      </c>
      <c r="E14" s="9" t="s">
        <v>162</v>
      </c>
      <c r="F14" s="9" t="s">
        <v>157</v>
      </c>
      <c r="G14" s="9" t="s">
        <v>163</v>
      </c>
      <c r="H14" s="24" t="str">
        <f>LOWER(TRIM(Data_Karyawan!I2))</f>
        <v>budi.santoso@perusahaan.co.id</v>
      </c>
      <c r="I14" s="9" t="s">
        <v>164</v>
      </c>
    </row>
    <row r="15" spans="1:9" ht="42.75" customHeight="1" x14ac:dyDescent="0.3">
      <c r="A15" s="11">
        <v>11</v>
      </c>
      <c r="B15" s="10" t="s">
        <v>165</v>
      </c>
      <c r="C15" s="20" t="s">
        <v>106</v>
      </c>
      <c r="D15" s="9" t="s">
        <v>166</v>
      </c>
      <c r="E15" s="9" t="s">
        <v>167</v>
      </c>
      <c r="F15" s="9" t="s">
        <v>157</v>
      </c>
      <c r="G15" s="9" t="s">
        <v>168</v>
      </c>
      <c r="H15" s="24" t="str">
        <f>PROPER(TRIM(Data_Karyawan!B2))</f>
        <v>Budi</v>
      </c>
      <c r="I15" s="9" t="s">
        <v>169</v>
      </c>
    </row>
    <row r="16" spans="1:9" ht="42.75" customHeight="1" x14ac:dyDescent="0.3">
      <c r="A16" s="11">
        <v>12</v>
      </c>
      <c r="B16" s="10" t="s">
        <v>170</v>
      </c>
      <c r="C16" s="25" t="s">
        <v>171</v>
      </c>
      <c r="D16" s="9" t="s">
        <v>172</v>
      </c>
      <c r="E16" s="9" t="s">
        <v>173</v>
      </c>
      <c r="F16" s="9" t="s">
        <v>174</v>
      </c>
      <c r="G16" s="9" t="s">
        <v>175</v>
      </c>
      <c r="H16" s="24" t="str">
        <f>_xlfn.CONCAT(PROPER(TRIM(Data_Karyawan!B3))," ",PROPER(TRIM(Data_Karyawan!C3)))</f>
        <v>Siti Rahmawati</v>
      </c>
      <c r="I16" s="9" t="s">
        <v>176</v>
      </c>
    </row>
    <row r="17" spans="1:9" ht="42.75" customHeight="1" x14ac:dyDescent="0.3">
      <c r="A17" s="11">
        <v>13</v>
      </c>
      <c r="B17" s="10" t="s">
        <v>177</v>
      </c>
      <c r="C17" s="25" t="s">
        <v>171</v>
      </c>
      <c r="D17" s="9" t="s">
        <v>178</v>
      </c>
      <c r="E17" s="9" t="s">
        <v>179</v>
      </c>
      <c r="F17" s="9" t="s">
        <v>180</v>
      </c>
      <c r="G17" s="9" t="s">
        <v>181</v>
      </c>
      <c r="H17" s="24" t="str">
        <f>REPLACE(Data_Karyawan!H3,11,4,"XXXX")</f>
        <v>0813-5551-XXXX</v>
      </c>
      <c r="I17" s="9" t="s">
        <v>182</v>
      </c>
    </row>
    <row r="18" spans="1:9" ht="55.5" customHeight="1" x14ac:dyDescent="0.3">
      <c r="A18" s="11">
        <v>14</v>
      </c>
      <c r="B18" s="10" t="s">
        <v>183</v>
      </c>
      <c r="C18" s="25" t="s">
        <v>171</v>
      </c>
      <c r="D18" s="9" t="s">
        <v>184</v>
      </c>
      <c r="E18" s="9" t="s">
        <v>185</v>
      </c>
      <c r="F18" s="9" t="s">
        <v>186</v>
      </c>
      <c r="G18" s="9" t="s">
        <v>187</v>
      </c>
      <c r="H18" s="24" t="str">
        <f>SUBSTITUTE(Data_Penjualan!A3,"TRX","INV")</f>
        <v>INV-0002</v>
      </c>
      <c r="I18" s="9" t="s">
        <v>188</v>
      </c>
    </row>
    <row r="19" spans="1:9" ht="42.75" customHeight="1" x14ac:dyDescent="0.3">
      <c r="A19" s="11">
        <v>15</v>
      </c>
      <c r="B19" s="10" t="s">
        <v>189</v>
      </c>
      <c r="C19" s="25" t="s">
        <v>171</v>
      </c>
      <c r="D19" s="9" t="s">
        <v>190</v>
      </c>
      <c r="E19" s="9" t="s">
        <v>191</v>
      </c>
      <c r="F19" s="9" t="s">
        <v>192</v>
      </c>
      <c r="G19" s="9" t="s">
        <v>193</v>
      </c>
      <c r="H19" s="24" t="str">
        <f>IF(Data_Penjualan!H2&gt;=10,"Grosir","Eceran")</f>
        <v>Eceran</v>
      </c>
      <c r="I19" s="9" t="s">
        <v>194</v>
      </c>
    </row>
    <row r="20" spans="1:9" ht="55.5" customHeight="1" x14ac:dyDescent="0.3">
      <c r="A20" s="11">
        <v>16</v>
      </c>
      <c r="B20" s="10" t="s">
        <v>195</v>
      </c>
      <c r="C20" s="26" t="s">
        <v>196</v>
      </c>
      <c r="D20" s="9" t="s">
        <v>197</v>
      </c>
      <c r="E20" s="9" t="s">
        <v>198</v>
      </c>
      <c r="F20" s="9" t="s">
        <v>199</v>
      </c>
      <c r="G20" s="9" t="s">
        <v>200</v>
      </c>
      <c r="H20" s="24" t="str">
        <f>IF(AND(Data_Penjualan!J2&gt;0,Data_Penjualan!K2="Lunas"),"Diskon &amp; Lunas","Lainnya")</f>
        <v>Lainnya</v>
      </c>
      <c r="I20" s="9" t="s">
        <v>201</v>
      </c>
    </row>
    <row r="21" spans="1:9" ht="55.5" customHeight="1" x14ac:dyDescent="0.3">
      <c r="A21" s="11">
        <v>17</v>
      </c>
      <c r="B21" s="10" t="s">
        <v>202</v>
      </c>
      <c r="C21" s="26" t="s">
        <v>196</v>
      </c>
      <c r="D21" s="9" t="s">
        <v>203</v>
      </c>
      <c r="E21" s="9" t="s">
        <v>204</v>
      </c>
      <c r="F21" s="9" t="s">
        <v>205</v>
      </c>
      <c r="G21" s="9" t="s">
        <v>206</v>
      </c>
      <c r="H21" s="21">
        <f>DATEDIF(Data_Karyawan!G3,Data_Karyawan!$V$2,"y")</f>
        <v>9</v>
      </c>
      <c r="I21" s="9" t="s">
        <v>207</v>
      </c>
    </row>
    <row r="22" spans="1:9" ht="69" customHeight="1" x14ac:dyDescent="0.3">
      <c r="A22" s="11">
        <v>18</v>
      </c>
      <c r="B22" s="10" t="s">
        <v>14</v>
      </c>
      <c r="C22" s="26" t="s">
        <v>196</v>
      </c>
      <c r="D22" s="9" t="s">
        <v>208</v>
      </c>
      <c r="E22" s="9" t="s">
        <v>209</v>
      </c>
      <c r="F22" s="9" t="s">
        <v>210</v>
      </c>
      <c r="G22" s="9" t="s">
        <v>211</v>
      </c>
      <c r="H22" s="24" t="str">
        <f>VLOOKUP("P004",Master_Produk!$A$2:$F$11,2,FALSE())</f>
        <v>Mouse Wireless Logitech</v>
      </c>
      <c r="I22" s="9" t="s">
        <v>212</v>
      </c>
    </row>
    <row r="23" spans="1:9" ht="42.75" customHeight="1" x14ac:dyDescent="0.3">
      <c r="A23" s="11">
        <v>19</v>
      </c>
      <c r="B23" s="10" t="s">
        <v>17</v>
      </c>
      <c r="C23" s="26" t="s">
        <v>196</v>
      </c>
      <c r="D23" s="9" t="s">
        <v>213</v>
      </c>
      <c r="E23" s="9" t="s">
        <v>214</v>
      </c>
      <c r="F23" s="9" t="s">
        <v>215</v>
      </c>
      <c r="G23" s="9" t="s">
        <v>216</v>
      </c>
      <c r="H23" s="21">
        <f>HLOOKUP("Sumatera",Target_Region!$A$1:$F$4,4,FALSE())</f>
        <v>3</v>
      </c>
      <c r="I23" s="9" t="s">
        <v>217</v>
      </c>
    </row>
    <row r="24" spans="1:9" ht="55.5" customHeight="1" x14ac:dyDescent="0.3">
      <c r="A24" s="11">
        <v>20</v>
      </c>
      <c r="B24" s="10" t="s">
        <v>218</v>
      </c>
      <c r="C24" s="25" t="s">
        <v>171</v>
      </c>
      <c r="D24" s="9" t="s">
        <v>219</v>
      </c>
      <c r="E24" s="9" t="s">
        <v>220</v>
      </c>
      <c r="F24" s="9" t="s">
        <v>221</v>
      </c>
      <c r="G24" s="9" t="s">
        <v>222</v>
      </c>
      <c r="H24" s="27" t="s">
        <v>223</v>
      </c>
      <c r="I24" s="9" t="s">
        <v>224</v>
      </c>
    </row>
    <row r="25" spans="1:9" ht="55.5" customHeight="1" x14ac:dyDescent="0.3">
      <c r="A25" s="11">
        <v>21</v>
      </c>
      <c r="B25" s="10" t="s">
        <v>69</v>
      </c>
      <c r="C25" s="26" t="s">
        <v>196</v>
      </c>
      <c r="D25" s="9" t="s">
        <v>225</v>
      </c>
      <c r="E25" s="9" t="s">
        <v>226</v>
      </c>
      <c r="F25" s="9" t="s">
        <v>227</v>
      </c>
      <c r="G25" s="9" t="s">
        <v>228</v>
      </c>
      <c r="H25" s="28">
        <f>SUM(Data_Penjualan!$M$2:$M$61)</f>
        <v>434588750</v>
      </c>
      <c r="I25" s="9" t="s">
        <v>229</v>
      </c>
    </row>
  </sheetData>
  <pageMargins left="0.75" right="0.75" top="1" bottom="1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48235"/>
    <pageSetUpPr fitToPage="1"/>
  </sheetPr>
  <dimension ref="A1:S61"/>
  <sheetViews>
    <sheetView zoomScaleNormal="100" workbookViewId="0">
      <pane xSplit="1" ySplit="1" topLeftCell="E26" activePane="bottomRight" state="frozen"/>
      <selection pane="topRight" activeCell="B1" sqref="B1"/>
      <selection pane="bottomLeft" activeCell="A2" sqref="A2"/>
      <selection pane="bottomRight" activeCell="G33" sqref="G33"/>
    </sheetView>
  </sheetViews>
  <sheetFormatPr defaultColWidth="8.6640625" defaultRowHeight="14.4" x14ac:dyDescent="0.3"/>
  <cols>
    <col min="1" max="1" width="14" customWidth="1"/>
    <col min="2" max="3" width="12" customWidth="1"/>
    <col min="4" max="4" width="24" customWidth="1"/>
    <col min="5" max="6" width="12" customWidth="1"/>
    <col min="7" max="7" width="14" customWidth="1"/>
    <col min="8" max="8" width="7" customWidth="1"/>
    <col min="9" max="9" width="14" customWidth="1"/>
    <col min="10" max="10" width="9" customWidth="1"/>
    <col min="11" max="11" width="13" customWidth="1"/>
    <col min="12" max="12" width="16" customWidth="1"/>
    <col min="13" max="13" width="18" customWidth="1"/>
    <col min="14" max="14" width="24" customWidth="1"/>
    <col min="15" max="16" width="15" customWidth="1"/>
    <col min="17" max="17" width="16" customWidth="1"/>
    <col min="18" max="18" width="13" customWidth="1"/>
    <col min="19" max="19" width="17" customWidth="1"/>
  </cols>
  <sheetData>
    <row r="1" spans="1:19" ht="30" customHeight="1" x14ac:dyDescent="0.3">
      <c r="A1" s="13" t="s">
        <v>230</v>
      </c>
      <c r="B1" s="13" t="s">
        <v>231</v>
      </c>
      <c r="C1" s="13" t="s">
        <v>232</v>
      </c>
      <c r="D1" s="13" t="s">
        <v>233</v>
      </c>
      <c r="E1" s="13" t="s">
        <v>234</v>
      </c>
      <c r="F1" s="13" t="s">
        <v>235</v>
      </c>
      <c r="G1" s="13" t="s">
        <v>236</v>
      </c>
      <c r="H1" s="13" t="s">
        <v>237</v>
      </c>
      <c r="I1" s="13" t="s">
        <v>238</v>
      </c>
      <c r="J1" s="13" t="s">
        <v>239</v>
      </c>
      <c r="K1" s="13" t="s">
        <v>240</v>
      </c>
      <c r="L1" s="13" t="s">
        <v>241</v>
      </c>
      <c r="M1" s="14" t="s">
        <v>242</v>
      </c>
      <c r="N1" s="15" t="s">
        <v>243</v>
      </c>
      <c r="O1" s="15" t="s">
        <v>244</v>
      </c>
      <c r="P1" s="15" t="s">
        <v>245</v>
      </c>
      <c r="Q1" s="15" t="s">
        <v>246</v>
      </c>
      <c r="R1" s="15" t="s">
        <v>247</v>
      </c>
      <c r="S1" s="15" t="s">
        <v>248</v>
      </c>
    </row>
    <row r="2" spans="1:19" x14ac:dyDescent="0.3">
      <c r="A2" s="29" t="s">
        <v>249</v>
      </c>
      <c r="B2" s="30">
        <v>46028</v>
      </c>
      <c r="C2" s="30">
        <v>46032</v>
      </c>
      <c r="D2" s="29" t="s">
        <v>250</v>
      </c>
      <c r="E2" s="29" t="s">
        <v>251</v>
      </c>
      <c r="F2" s="29" t="s">
        <v>252</v>
      </c>
      <c r="G2" s="29" t="s">
        <v>253</v>
      </c>
      <c r="H2" s="31">
        <v>2</v>
      </c>
      <c r="I2" s="31">
        <v>900000</v>
      </c>
      <c r="J2" s="32">
        <v>0</v>
      </c>
      <c r="K2" s="29" t="s">
        <v>254</v>
      </c>
      <c r="L2" s="29" t="s">
        <v>255</v>
      </c>
      <c r="M2" s="33">
        <f t="shared" ref="M2:M33" si="0">H2*I2*(1-J2)</f>
        <v>1800000</v>
      </c>
      <c r="N2" s="34"/>
      <c r="O2" s="34"/>
      <c r="P2" s="34"/>
      <c r="Q2" s="34"/>
      <c r="R2" s="34"/>
      <c r="S2" s="34"/>
    </row>
    <row r="3" spans="1:19" x14ac:dyDescent="0.3">
      <c r="A3" s="29" t="s">
        <v>256</v>
      </c>
      <c r="B3" s="30">
        <v>46032</v>
      </c>
      <c r="C3" s="30">
        <v>46037</v>
      </c>
      <c r="D3" s="29" t="s">
        <v>250</v>
      </c>
      <c r="E3" s="29" t="s">
        <v>257</v>
      </c>
      <c r="F3" s="29" t="s">
        <v>258</v>
      </c>
      <c r="G3" s="29" t="s">
        <v>259</v>
      </c>
      <c r="H3" s="31">
        <v>4</v>
      </c>
      <c r="I3" s="31">
        <v>2400000</v>
      </c>
      <c r="J3" s="32">
        <v>0.1</v>
      </c>
      <c r="K3" s="29" t="s">
        <v>260</v>
      </c>
      <c r="L3" s="29" t="s">
        <v>261</v>
      </c>
      <c r="M3" s="33">
        <f t="shared" si="0"/>
        <v>8640000</v>
      </c>
      <c r="N3" s="34"/>
      <c r="O3" s="34"/>
      <c r="P3" s="34"/>
      <c r="Q3" s="34"/>
      <c r="R3" s="34"/>
      <c r="S3" s="34"/>
    </row>
    <row r="4" spans="1:19" x14ac:dyDescent="0.3">
      <c r="A4" s="29" t="s">
        <v>262</v>
      </c>
      <c r="B4" s="30">
        <v>46039</v>
      </c>
      <c r="C4" s="30">
        <v>46042</v>
      </c>
      <c r="D4" s="29" t="s">
        <v>263</v>
      </c>
      <c r="E4" s="29" t="s">
        <v>264</v>
      </c>
      <c r="F4" s="29" t="s">
        <v>252</v>
      </c>
      <c r="G4" s="29" t="s">
        <v>265</v>
      </c>
      <c r="H4" s="31">
        <v>7</v>
      </c>
      <c r="I4" s="31">
        <v>1500000</v>
      </c>
      <c r="J4" s="32">
        <v>0</v>
      </c>
      <c r="K4" s="29" t="s">
        <v>266</v>
      </c>
      <c r="L4" s="29" t="s">
        <v>267</v>
      </c>
      <c r="M4" s="33">
        <f t="shared" si="0"/>
        <v>10500000</v>
      </c>
      <c r="N4" s="34"/>
      <c r="O4" s="34"/>
      <c r="P4" s="34"/>
      <c r="Q4" s="34"/>
      <c r="R4" s="34"/>
      <c r="S4" s="34"/>
    </row>
    <row r="5" spans="1:19" x14ac:dyDescent="0.3">
      <c r="A5" s="29" t="s">
        <v>268</v>
      </c>
      <c r="B5" s="30">
        <v>46039</v>
      </c>
      <c r="C5" s="30">
        <v>46042</v>
      </c>
      <c r="D5" s="29" t="s">
        <v>269</v>
      </c>
      <c r="E5" s="29" t="s">
        <v>270</v>
      </c>
      <c r="F5" s="29" t="s">
        <v>271</v>
      </c>
      <c r="G5" s="29" t="s">
        <v>272</v>
      </c>
      <c r="H5" s="31">
        <v>68</v>
      </c>
      <c r="I5" s="31">
        <v>55000</v>
      </c>
      <c r="J5" s="32">
        <v>0.05</v>
      </c>
      <c r="K5" s="29" t="s">
        <v>260</v>
      </c>
      <c r="L5" s="29" t="s">
        <v>261</v>
      </c>
      <c r="M5" s="33">
        <f t="shared" si="0"/>
        <v>3553000</v>
      </c>
      <c r="N5" s="34"/>
      <c r="O5" s="34"/>
      <c r="P5" s="34"/>
      <c r="Q5" s="34"/>
      <c r="R5" s="34"/>
      <c r="S5" s="34"/>
    </row>
    <row r="6" spans="1:19" x14ac:dyDescent="0.3">
      <c r="A6" s="29" t="s">
        <v>273</v>
      </c>
      <c r="B6" s="30">
        <v>46052</v>
      </c>
      <c r="C6" s="30">
        <v>46057</v>
      </c>
      <c r="D6" s="29" t="s">
        <v>250</v>
      </c>
      <c r="E6" s="29" t="s">
        <v>251</v>
      </c>
      <c r="F6" s="29" t="s">
        <v>252</v>
      </c>
      <c r="G6" s="29" t="s">
        <v>265</v>
      </c>
      <c r="H6" s="31">
        <v>5</v>
      </c>
      <c r="I6" s="31">
        <v>900000</v>
      </c>
      <c r="J6" s="32">
        <v>0.05</v>
      </c>
      <c r="K6" s="29" t="s">
        <v>254</v>
      </c>
      <c r="L6" s="29" t="s">
        <v>255</v>
      </c>
      <c r="M6" s="33">
        <f t="shared" si="0"/>
        <v>4275000</v>
      </c>
      <c r="N6" s="34"/>
      <c r="O6" s="34"/>
      <c r="P6" s="34"/>
      <c r="Q6" s="34"/>
      <c r="R6" s="34"/>
      <c r="S6" s="34"/>
    </row>
    <row r="7" spans="1:19" x14ac:dyDescent="0.3">
      <c r="A7" s="29" t="s">
        <v>274</v>
      </c>
      <c r="B7" s="30">
        <v>46066</v>
      </c>
      <c r="C7" s="30">
        <v>46072</v>
      </c>
      <c r="D7" s="29" t="s">
        <v>275</v>
      </c>
      <c r="E7" s="29" t="s">
        <v>276</v>
      </c>
      <c r="F7" s="29" t="s">
        <v>277</v>
      </c>
      <c r="G7" s="29" t="s">
        <v>272</v>
      </c>
      <c r="H7" s="31">
        <v>9</v>
      </c>
      <c r="I7" s="31">
        <v>480000</v>
      </c>
      <c r="J7" s="32">
        <v>0</v>
      </c>
      <c r="K7" s="29" t="s">
        <v>266</v>
      </c>
      <c r="L7" s="29" t="s">
        <v>261</v>
      </c>
      <c r="M7" s="33">
        <f t="shared" si="0"/>
        <v>4320000</v>
      </c>
      <c r="N7" s="34"/>
      <c r="O7" s="34"/>
      <c r="P7" s="34"/>
      <c r="Q7" s="34"/>
      <c r="R7" s="34"/>
      <c r="S7" s="34"/>
    </row>
    <row r="8" spans="1:19" x14ac:dyDescent="0.3">
      <c r="A8" s="29" t="s">
        <v>278</v>
      </c>
      <c r="B8" s="30">
        <v>46068</v>
      </c>
      <c r="C8" s="30">
        <v>46069</v>
      </c>
      <c r="D8" s="29" t="s">
        <v>250</v>
      </c>
      <c r="E8" s="29" t="s">
        <v>279</v>
      </c>
      <c r="F8" s="29" t="s">
        <v>258</v>
      </c>
      <c r="G8" s="29" t="s">
        <v>272</v>
      </c>
      <c r="H8" s="31">
        <v>4</v>
      </c>
      <c r="I8" s="31">
        <v>1800000</v>
      </c>
      <c r="J8" s="32">
        <v>0.1</v>
      </c>
      <c r="K8" s="29" t="s">
        <v>266</v>
      </c>
      <c r="L8" s="29" t="s">
        <v>261</v>
      </c>
      <c r="M8" s="33">
        <f t="shared" si="0"/>
        <v>6480000</v>
      </c>
      <c r="N8" s="34"/>
      <c r="O8" s="34"/>
      <c r="P8" s="34"/>
      <c r="Q8" s="34"/>
      <c r="R8" s="34"/>
      <c r="S8" s="34"/>
    </row>
    <row r="9" spans="1:19" x14ac:dyDescent="0.3">
      <c r="A9" s="29" t="s">
        <v>280</v>
      </c>
      <c r="B9" s="30">
        <v>46072</v>
      </c>
      <c r="C9" s="30">
        <v>46076</v>
      </c>
      <c r="D9" s="29" t="s">
        <v>281</v>
      </c>
      <c r="E9" s="29" t="s">
        <v>276</v>
      </c>
      <c r="F9" s="29" t="s">
        <v>277</v>
      </c>
      <c r="G9" s="29" t="s">
        <v>253</v>
      </c>
      <c r="H9" s="31">
        <v>3</v>
      </c>
      <c r="I9" s="31">
        <v>480000</v>
      </c>
      <c r="J9" s="32">
        <v>0</v>
      </c>
      <c r="K9" s="29" t="s">
        <v>254</v>
      </c>
      <c r="L9" s="29" t="s">
        <v>282</v>
      </c>
      <c r="M9" s="33">
        <f t="shared" si="0"/>
        <v>1440000</v>
      </c>
      <c r="N9" s="34"/>
      <c r="O9" s="34"/>
      <c r="P9" s="34"/>
      <c r="Q9" s="34"/>
      <c r="R9" s="34"/>
      <c r="S9" s="34"/>
    </row>
    <row r="10" spans="1:19" x14ac:dyDescent="0.3">
      <c r="A10" s="29" t="s">
        <v>283</v>
      </c>
      <c r="B10" s="30">
        <v>46073</v>
      </c>
      <c r="C10" s="30">
        <v>46080</v>
      </c>
      <c r="D10" s="29" t="s">
        <v>284</v>
      </c>
      <c r="E10" s="29" t="s">
        <v>285</v>
      </c>
      <c r="F10" s="29" t="s">
        <v>258</v>
      </c>
      <c r="G10" s="29" t="s">
        <v>259</v>
      </c>
      <c r="H10" s="31">
        <v>1</v>
      </c>
      <c r="I10" s="31">
        <v>3200000</v>
      </c>
      <c r="J10" s="32">
        <v>0.05</v>
      </c>
      <c r="K10" s="29" t="s">
        <v>266</v>
      </c>
      <c r="L10" s="29" t="s">
        <v>267</v>
      </c>
      <c r="M10" s="33">
        <f t="shared" si="0"/>
        <v>3040000</v>
      </c>
      <c r="N10" s="34"/>
      <c r="O10" s="34"/>
      <c r="P10" s="34"/>
      <c r="Q10" s="34"/>
      <c r="R10" s="34"/>
      <c r="S10" s="34"/>
    </row>
    <row r="11" spans="1:19" x14ac:dyDescent="0.3">
      <c r="A11" s="29" t="s">
        <v>286</v>
      </c>
      <c r="B11" s="30">
        <v>46077</v>
      </c>
      <c r="C11" s="30">
        <v>46082</v>
      </c>
      <c r="D11" s="29" t="s">
        <v>287</v>
      </c>
      <c r="E11" s="29" t="s">
        <v>288</v>
      </c>
      <c r="F11" s="29" t="s">
        <v>277</v>
      </c>
      <c r="G11" s="29" t="s">
        <v>272</v>
      </c>
      <c r="H11" s="31">
        <v>8</v>
      </c>
      <c r="I11" s="31">
        <v>250000</v>
      </c>
      <c r="J11" s="32">
        <v>0.05</v>
      </c>
      <c r="K11" s="29" t="s">
        <v>266</v>
      </c>
      <c r="L11" s="29" t="s">
        <v>267</v>
      </c>
      <c r="M11" s="33">
        <f t="shared" si="0"/>
        <v>1900000</v>
      </c>
      <c r="N11" s="34"/>
      <c r="O11" s="34"/>
      <c r="P11" s="34"/>
      <c r="Q11" s="34"/>
      <c r="R11" s="34"/>
      <c r="S11" s="34"/>
    </row>
    <row r="12" spans="1:19" x14ac:dyDescent="0.3">
      <c r="A12" s="29" t="s">
        <v>289</v>
      </c>
      <c r="B12" s="30">
        <v>46079</v>
      </c>
      <c r="C12" s="30">
        <v>46086</v>
      </c>
      <c r="D12" s="29" t="s">
        <v>290</v>
      </c>
      <c r="E12" s="29" t="s">
        <v>291</v>
      </c>
      <c r="F12" s="29" t="s">
        <v>258</v>
      </c>
      <c r="G12" s="29" t="s">
        <v>292</v>
      </c>
      <c r="H12" s="31">
        <v>3</v>
      </c>
      <c r="I12" s="31">
        <v>8500000</v>
      </c>
      <c r="J12" s="32">
        <v>0.1</v>
      </c>
      <c r="K12" s="29" t="s">
        <v>266</v>
      </c>
      <c r="L12" s="29" t="s">
        <v>267</v>
      </c>
      <c r="M12" s="33">
        <f t="shared" si="0"/>
        <v>22950000</v>
      </c>
      <c r="N12" s="34"/>
      <c r="O12" s="34"/>
      <c r="P12" s="34"/>
      <c r="Q12" s="34"/>
      <c r="R12" s="34"/>
      <c r="S12" s="34"/>
    </row>
    <row r="13" spans="1:19" x14ac:dyDescent="0.3">
      <c r="A13" s="29" t="s">
        <v>293</v>
      </c>
      <c r="B13" s="30">
        <v>46079</v>
      </c>
      <c r="C13" s="30">
        <v>46085</v>
      </c>
      <c r="D13" s="29" t="s">
        <v>275</v>
      </c>
      <c r="E13" s="29" t="s">
        <v>251</v>
      </c>
      <c r="F13" s="29" t="s">
        <v>252</v>
      </c>
      <c r="G13" s="29" t="s">
        <v>272</v>
      </c>
      <c r="H13" s="31">
        <v>5</v>
      </c>
      <c r="I13" s="31">
        <v>900000</v>
      </c>
      <c r="J13" s="32">
        <v>0</v>
      </c>
      <c r="K13" s="29" t="s">
        <v>260</v>
      </c>
      <c r="L13" s="29" t="s">
        <v>282</v>
      </c>
      <c r="M13" s="33">
        <f t="shared" si="0"/>
        <v>4500000</v>
      </c>
      <c r="N13" s="34"/>
      <c r="O13" s="34"/>
      <c r="P13" s="34"/>
      <c r="Q13" s="34"/>
      <c r="R13" s="34"/>
      <c r="S13" s="34"/>
    </row>
    <row r="14" spans="1:19" x14ac:dyDescent="0.3">
      <c r="A14" s="29" t="s">
        <v>294</v>
      </c>
      <c r="B14" s="30">
        <v>46083</v>
      </c>
      <c r="C14" s="30">
        <v>46088</v>
      </c>
      <c r="D14" s="29" t="s">
        <v>287</v>
      </c>
      <c r="E14" s="29" t="s">
        <v>264</v>
      </c>
      <c r="F14" s="29" t="s">
        <v>252</v>
      </c>
      <c r="G14" s="29" t="s">
        <v>259</v>
      </c>
      <c r="H14" s="31">
        <v>3</v>
      </c>
      <c r="I14" s="31">
        <v>1500000</v>
      </c>
      <c r="J14" s="32">
        <v>0</v>
      </c>
      <c r="K14" s="29" t="s">
        <v>254</v>
      </c>
      <c r="L14" s="29" t="s">
        <v>261</v>
      </c>
      <c r="M14" s="33">
        <f t="shared" si="0"/>
        <v>4500000</v>
      </c>
      <c r="N14" s="34"/>
      <c r="O14" s="34"/>
      <c r="P14" s="34"/>
      <c r="Q14" s="34"/>
      <c r="R14" s="34"/>
      <c r="S14" s="34"/>
    </row>
    <row r="15" spans="1:19" x14ac:dyDescent="0.3">
      <c r="A15" s="29" t="s">
        <v>295</v>
      </c>
      <c r="B15" s="30">
        <v>46086</v>
      </c>
      <c r="C15" s="30">
        <v>46090</v>
      </c>
      <c r="D15" s="29" t="s">
        <v>263</v>
      </c>
      <c r="E15" s="29" t="s">
        <v>264</v>
      </c>
      <c r="F15" s="29" t="s">
        <v>252</v>
      </c>
      <c r="G15" s="29" t="s">
        <v>265</v>
      </c>
      <c r="H15" s="31">
        <v>3</v>
      </c>
      <c r="I15" s="31">
        <v>1500000</v>
      </c>
      <c r="J15" s="32">
        <v>0.05</v>
      </c>
      <c r="K15" s="29" t="s">
        <v>254</v>
      </c>
      <c r="L15" s="29" t="s">
        <v>261</v>
      </c>
      <c r="M15" s="33">
        <f t="shared" si="0"/>
        <v>4275000</v>
      </c>
      <c r="N15" s="34"/>
      <c r="O15" s="34"/>
      <c r="P15" s="34"/>
      <c r="Q15" s="34"/>
      <c r="R15" s="34"/>
      <c r="S15" s="34"/>
    </row>
    <row r="16" spans="1:19" x14ac:dyDescent="0.3">
      <c r="A16" s="29" t="s">
        <v>296</v>
      </c>
      <c r="B16" s="30">
        <v>46087</v>
      </c>
      <c r="C16" s="30">
        <v>46094</v>
      </c>
      <c r="D16" s="29" t="s">
        <v>263</v>
      </c>
      <c r="E16" s="29" t="s">
        <v>285</v>
      </c>
      <c r="F16" s="29" t="s">
        <v>258</v>
      </c>
      <c r="G16" s="29" t="s">
        <v>265</v>
      </c>
      <c r="H16" s="31">
        <v>1</v>
      </c>
      <c r="I16" s="31">
        <v>3200000</v>
      </c>
      <c r="J16" s="32">
        <v>0</v>
      </c>
      <c r="K16" s="29" t="s">
        <v>254</v>
      </c>
      <c r="L16" s="29" t="s">
        <v>261</v>
      </c>
      <c r="M16" s="33">
        <f t="shared" si="0"/>
        <v>3200000</v>
      </c>
      <c r="N16" s="34"/>
      <c r="O16" s="34"/>
      <c r="P16" s="34"/>
      <c r="Q16" s="34"/>
      <c r="R16" s="34"/>
      <c r="S16" s="34"/>
    </row>
    <row r="17" spans="1:19" x14ac:dyDescent="0.3">
      <c r="A17" s="29" t="s">
        <v>297</v>
      </c>
      <c r="B17" s="30">
        <v>46093</v>
      </c>
      <c r="C17" s="30">
        <v>46094</v>
      </c>
      <c r="D17" s="29" t="s">
        <v>290</v>
      </c>
      <c r="E17" s="29" t="s">
        <v>276</v>
      </c>
      <c r="F17" s="29" t="s">
        <v>277</v>
      </c>
      <c r="G17" s="29" t="s">
        <v>253</v>
      </c>
      <c r="H17" s="31">
        <v>12</v>
      </c>
      <c r="I17" s="31">
        <v>480000</v>
      </c>
      <c r="J17" s="32">
        <v>0</v>
      </c>
      <c r="K17" s="29" t="s">
        <v>266</v>
      </c>
      <c r="L17" s="29" t="s">
        <v>267</v>
      </c>
      <c r="M17" s="33">
        <f t="shared" si="0"/>
        <v>5760000</v>
      </c>
      <c r="N17" s="34"/>
      <c r="O17" s="34"/>
      <c r="P17" s="34"/>
      <c r="Q17" s="34"/>
      <c r="R17" s="34"/>
      <c r="S17" s="34"/>
    </row>
    <row r="18" spans="1:19" x14ac:dyDescent="0.3">
      <c r="A18" s="29" t="s">
        <v>298</v>
      </c>
      <c r="B18" s="30">
        <v>46099</v>
      </c>
      <c r="C18" s="30">
        <v>46104</v>
      </c>
      <c r="D18" s="29" t="s">
        <v>299</v>
      </c>
      <c r="E18" s="29" t="s">
        <v>279</v>
      </c>
      <c r="F18" s="29" t="s">
        <v>258</v>
      </c>
      <c r="G18" s="29" t="s">
        <v>253</v>
      </c>
      <c r="H18" s="31">
        <v>5</v>
      </c>
      <c r="I18" s="31">
        <v>1800000</v>
      </c>
      <c r="J18" s="32">
        <v>0.05</v>
      </c>
      <c r="K18" s="29" t="s">
        <v>266</v>
      </c>
      <c r="L18" s="29" t="s">
        <v>267</v>
      </c>
      <c r="M18" s="33">
        <f t="shared" si="0"/>
        <v>8550000</v>
      </c>
      <c r="N18" s="34"/>
      <c r="O18" s="34"/>
      <c r="P18" s="34"/>
      <c r="Q18" s="34"/>
      <c r="R18" s="34"/>
      <c r="S18" s="34"/>
    </row>
    <row r="19" spans="1:19" x14ac:dyDescent="0.3">
      <c r="A19" s="29" t="s">
        <v>300</v>
      </c>
      <c r="B19" s="30">
        <v>46099</v>
      </c>
      <c r="C19" s="30">
        <v>46101</v>
      </c>
      <c r="D19" s="29" t="s">
        <v>263</v>
      </c>
      <c r="E19" s="29" t="s">
        <v>285</v>
      </c>
      <c r="F19" s="29" t="s">
        <v>258</v>
      </c>
      <c r="G19" s="29" t="s">
        <v>259</v>
      </c>
      <c r="H19" s="31">
        <v>7</v>
      </c>
      <c r="I19" s="31">
        <v>3200000</v>
      </c>
      <c r="J19" s="32">
        <v>0</v>
      </c>
      <c r="K19" s="29" t="s">
        <v>266</v>
      </c>
      <c r="L19" s="29" t="s">
        <v>282</v>
      </c>
      <c r="M19" s="33">
        <f t="shared" si="0"/>
        <v>22400000</v>
      </c>
      <c r="N19" s="34"/>
      <c r="O19" s="34"/>
      <c r="P19" s="34"/>
      <c r="Q19" s="34"/>
      <c r="R19" s="34"/>
      <c r="S19" s="34"/>
    </row>
    <row r="20" spans="1:19" x14ac:dyDescent="0.3">
      <c r="A20" s="29" t="s">
        <v>301</v>
      </c>
      <c r="B20" s="30">
        <v>46134</v>
      </c>
      <c r="C20" s="30">
        <v>46140</v>
      </c>
      <c r="D20" s="29" t="s">
        <v>263</v>
      </c>
      <c r="E20" s="29" t="s">
        <v>251</v>
      </c>
      <c r="F20" s="29" t="s">
        <v>252</v>
      </c>
      <c r="G20" s="29" t="s">
        <v>292</v>
      </c>
      <c r="H20" s="31">
        <v>6</v>
      </c>
      <c r="I20" s="31">
        <v>900000</v>
      </c>
      <c r="J20" s="32">
        <v>0</v>
      </c>
      <c r="K20" s="29" t="s">
        <v>266</v>
      </c>
      <c r="L20" s="29" t="s">
        <v>267</v>
      </c>
      <c r="M20" s="33">
        <f t="shared" si="0"/>
        <v>5400000</v>
      </c>
      <c r="N20" s="34"/>
      <c r="O20" s="34"/>
      <c r="P20" s="34"/>
      <c r="Q20" s="34"/>
      <c r="R20" s="34"/>
      <c r="S20" s="34"/>
    </row>
    <row r="21" spans="1:19" x14ac:dyDescent="0.3">
      <c r="A21" s="29" t="s">
        <v>302</v>
      </c>
      <c r="B21" s="30">
        <v>46141</v>
      </c>
      <c r="C21" s="30">
        <v>46143</v>
      </c>
      <c r="D21" s="29" t="s">
        <v>303</v>
      </c>
      <c r="E21" s="29" t="s">
        <v>257</v>
      </c>
      <c r="F21" s="29" t="s">
        <v>258</v>
      </c>
      <c r="G21" s="29" t="s">
        <v>272</v>
      </c>
      <c r="H21" s="31">
        <v>2</v>
      </c>
      <c r="I21" s="31">
        <v>2400000</v>
      </c>
      <c r="J21" s="32">
        <v>0</v>
      </c>
      <c r="K21" s="29" t="s">
        <v>254</v>
      </c>
      <c r="L21" s="29" t="s">
        <v>261</v>
      </c>
      <c r="M21" s="33">
        <f t="shared" si="0"/>
        <v>4800000</v>
      </c>
      <c r="N21" s="34"/>
      <c r="O21" s="34"/>
      <c r="P21" s="34"/>
      <c r="Q21" s="34"/>
      <c r="R21" s="34"/>
      <c r="S21" s="34"/>
    </row>
    <row r="22" spans="1:19" x14ac:dyDescent="0.3">
      <c r="A22" s="29" t="s">
        <v>304</v>
      </c>
      <c r="B22" s="30">
        <v>46141</v>
      </c>
      <c r="C22" s="30">
        <v>46143</v>
      </c>
      <c r="D22" s="29" t="s">
        <v>299</v>
      </c>
      <c r="E22" s="29" t="s">
        <v>257</v>
      </c>
      <c r="F22" s="29" t="s">
        <v>258</v>
      </c>
      <c r="G22" s="29" t="s">
        <v>292</v>
      </c>
      <c r="H22" s="31">
        <v>4</v>
      </c>
      <c r="I22" s="31">
        <v>2400000</v>
      </c>
      <c r="J22" s="32">
        <v>0</v>
      </c>
      <c r="K22" s="29" t="s">
        <v>266</v>
      </c>
      <c r="L22" s="29" t="s">
        <v>255</v>
      </c>
      <c r="M22" s="33">
        <f t="shared" si="0"/>
        <v>9600000</v>
      </c>
      <c r="N22" s="34"/>
      <c r="O22" s="34"/>
      <c r="P22" s="34"/>
      <c r="Q22" s="34"/>
      <c r="R22" s="34"/>
      <c r="S22" s="34"/>
    </row>
    <row r="23" spans="1:19" x14ac:dyDescent="0.3">
      <c r="A23" s="29" t="s">
        <v>305</v>
      </c>
      <c r="B23" s="30">
        <v>46149</v>
      </c>
      <c r="C23" s="30">
        <v>46151</v>
      </c>
      <c r="D23" s="29" t="s">
        <v>299</v>
      </c>
      <c r="E23" s="29" t="s">
        <v>251</v>
      </c>
      <c r="F23" s="29" t="s">
        <v>252</v>
      </c>
      <c r="G23" s="29" t="s">
        <v>259</v>
      </c>
      <c r="H23" s="31">
        <v>4</v>
      </c>
      <c r="I23" s="31">
        <v>900000</v>
      </c>
      <c r="J23" s="32">
        <v>0.05</v>
      </c>
      <c r="K23" s="29" t="s">
        <v>266</v>
      </c>
      <c r="L23" s="29" t="s">
        <v>261</v>
      </c>
      <c r="M23" s="33">
        <f t="shared" si="0"/>
        <v>3420000</v>
      </c>
      <c r="N23" s="34"/>
      <c r="O23" s="34"/>
      <c r="P23" s="34"/>
      <c r="Q23" s="34"/>
      <c r="R23" s="34"/>
      <c r="S23" s="34"/>
    </row>
    <row r="24" spans="1:19" x14ac:dyDescent="0.3">
      <c r="A24" s="29" t="s">
        <v>306</v>
      </c>
      <c r="B24" s="30">
        <v>46155</v>
      </c>
      <c r="C24" s="30">
        <v>46162</v>
      </c>
      <c r="D24" s="29" t="s">
        <v>287</v>
      </c>
      <c r="E24" s="29" t="s">
        <v>251</v>
      </c>
      <c r="F24" s="29" t="s">
        <v>252</v>
      </c>
      <c r="G24" s="29" t="s">
        <v>265</v>
      </c>
      <c r="H24" s="31">
        <v>1</v>
      </c>
      <c r="I24" s="31">
        <v>900000</v>
      </c>
      <c r="J24" s="32">
        <v>0.05</v>
      </c>
      <c r="K24" s="29" t="s">
        <v>254</v>
      </c>
      <c r="L24" s="29" t="s">
        <v>267</v>
      </c>
      <c r="M24" s="33">
        <f t="shared" si="0"/>
        <v>855000</v>
      </c>
      <c r="N24" s="34"/>
      <c r="O24" s="34"/>
      <c r="P24" s="34"/>
      <c r="Q24" s="34"/>
      <c r="R24" s="34"/>
      <c r="S24" s="34"/>
    </row>
    <row r="25" spans="1:19" x14ac:dyDescent="0.3">
      <c r="A25" s="29" t="s">
        <v>307</v>
      </c>
      <c r="B25" s="30">
        <v>46159</v>
      </c>
      <c r="C25" s="30">
        <v>46165</v>
      </c>
      <c r="D25" s="29" t="s">
        <v>299</v>
      </c>
      <c r="E25" s="29" t="s">
        <v>288</v>
      </c>
      <c r="F25" s="29" t="s">
        <v>277</v>
      </c>
      <c r="G25" s="29" t="s">
        <v>253</v>
      </c>
      <c r="H25" s="31">
        <v>5</v>
      </c>
      <c r="I25" s="31">
        <v>250000</v>
      </c>
      <c r="J25" s="32">
        <v>0</v>
      </c>
      <c r="K25" s="29" t="s">
        <v>260</v>
      </c>
      <c r="L25" s="29" t="s">
        <v>267</v>
      </c>
      <c r="M25" s="33">
        <f t="shared" si="0"/>
        <v>1250000</v>
      </c>
      <c r="N25" s="34"/>
      <c r="O25" s="34"/>
      <c r="P25" s="34"/>
      <c r="Q25" s="34"/>
      <c r="R25" s="34"/>
      <c r="S25" s="34"/>
    </row>
    <row r="26" spans="1:19" x14ac:dyDescent="0.3">
      <c r="A26" s="29" t="s">
        <v>308</v>
      </c>
      <c r="B26" s="30">
        <v>46174</v>
      </c>
      <c r="C26" s="30">
        <v>46180</v>
      </c>
      <c r="D26" s="29" t="s">
        <v>309</v>
      </c>
      <c r="E26" s="29" t="s">
        <v>291</v>
      </c>
      <c r="F26" s="29" t="s">
        <v>258</v>
      </c>
      <c r="G26" s="29" t="s">
        <v>259</v>
      </c>
      <c r="H26" s="31">
        <v>3</v>
      </c>
      <c r="I26" s="31">
        <v>8500000</v>
      </c>
      <c r="J26" s="32">
        <v>0</v>
      </c>
      <c r="K26" s="29" t="s">
        <v>266</v>
      </c>
      <c r="L26" s="29" t="s">
        <v>267</v>
      </c>
      <c r="M26" s="33">
        <f t="shared" si="0"/>
        <v>25500000</v>
      </c>
      <c r="N26" s="34"/>
      <c r="O26" s="34"/>
      <c r="P26" s="34"/>
      <c r="Q26" s="34"/>
      <c r="R26" s="34"/>
      <c r="S26" s="34"/>
    </row>
    <row r="27" spans="1:19" x14ac:dyDescent="0.3">
      <c r="A27" s="29" t="s">
        <v>310</v>
      </c>
      <c r="B27" s="30">
        <v>46174</v>
      </c>
      <c r="C27" s="30">
        <v>46180</v>
      </c>
      <c r="D27" s="29" t="s">
        <v>269</v>
      </c>
      <c r="E27" s="29" t="s">
        <v>285</v>
      </c>
      <c r="F27" s="29" t="s">
        <v>258</v>
      </c>
      <c r="G27" s="29" t="s">
        <v>259</v>
      </c>
      <c r="H27" s="31">
        <v>5</v>
      </c>
      <c r="I27" s="31">
        <v>3200000</v>
      </c>
      <c r="J27" s="32">
        <v>0.05</v>
      </c>
      <c r="K27" s="29" t="s">
        <v>254</v>
      </c>
      <c r="L27" s="29" t="s">
        <v>255</v>
      </c>
      <c r="M27" s="33">
        <f t="shared" si="0"/>
        <v>15200000</v>
      </c>
      <c r="N27" s="34"/>
      <c r="O27" s="34"/>
      <c r="P27" s="34"/>
      <c r="Q27" s="34"/>
      <c r="R27" s="34"/>
      <c r="S27" s="34"/>
    </row>
    <row r="28" spans="1:19" x14ac:dyDescent="0.3">
      <c r="A28" s="29" t="s">
        <v>311</v>
      </c>
      <c r="B28" s="30">
        <v>46176</v>
      </c>
      <c r="C28" s="30">
        <v>46177</v>
      </c>
      <c r="D28" s="29" t="s">
        <v>287</v>
      </c>
      <c r="E28" s="29" t="s">
        <v>270</v>
      </c>
      <c r="F28" s="29" t="s">
        <v>271</v>
      </c>
      <c r="G28" s="29" t="s">
        <v>265</v>
      </c>
      <c r="H28" s="31">
        <v>44</v>
      </c>
      <c r="I28" s="31">
        <v>55000</v>
      </c>
      <c r="J28" s="32">
        <v>0.1</v>
      </c>
      <c r="K28" s="29" t="s">
        <v>266</v>
      </c>
      <c r="L28" s="29" t="s">
        <v>261</v>
      </c>
      <c r="M28" s="33">
        <f t="shared" si="0"/>
        <v>2178000</v>
      </c>
      <c r="N28" s="34"/>
      <c r="O28" s="34"/>
      <c r="P28" s="34"/>
      <c r="Q28" s="34"/>
      <c r="R28" s="34"/>
      <c r="S28" s="34"/>
    </row>
    <row r="29" spans="1:19" x14ac:dyDescent="0.3">
      <c r="A29" s="29" t="s">
        <v>312</v>
      </c>
      <c r="B29" s="30">
        <v>46185</v>
      </c>
      <c r="C29" s="30">
        <v>46188</v>
      </c>
      <c r="D29" s="29" t="s">
        <v>313</v>
      </c>
      <c r="E29" s="29" t="s">
        <v>279</v>
      </c>
      <c r="F29" s="29" t="s">
        <v>258</v>
      </c>
      <c r="G29" s="29" t="s">
        <v>292</v>
      </c>
      <c r="H29" s="31">
        <v>1</v>
      </c>
      <c r="I29" s="31">
        <v>1800000</v>
      </c>
      <c r="J29" s="32">
        <v>0.1</v>
      </c>
      <c r="K29" s="29" t="s">
        <v>266</v>
      </c>
      <c r="L29" s="29" t="s">
        <v>282</v>
      </c>
      <c r="M29" s="33">
        <f t="shared" si="0"/>
        <v>1620000</v>
      </c>
      <c r="N29" s="34"/>
      <c r="O29" s="34"/>
      <c r="P29" s="34"/>
      <c r="Q29" s="34"/>
      <c r="R29" s="34"/>
      <c r="S29" s="34"/>
    </row>
    <row r="30" spans="1:19" x14ac:dyDescent="0.3">
      <c r="A30" s="29" t="s">
        <v>314</v>
      </c>
      <c r="B30" s="30">
        <v>46187</v>
      </c>
      <c r="C30" s="30">
        <v>46188</v>
      </c>
      <c r="D30" s="29" t="s">
        <v>287</v>
      </c>
      <c r="E30" s="29" t="s">
        <v>257</v>
      </c>
      <c r="F30" s="29" t="s">
        <v>258</v>
      </c>
      <c r="G30" s="29" t="s">
        <v>272</v>
      </c>
      <c r="H30" s="31">
        <v>3</v>
      </c>
      <c r="I30" s="31">
        <v>2400000</v>
      </c>
      <c r="J30" s="32">
        <v>0</v>
      </c>
      <c r="K30" s="29" t="s">
        <v>266</v>
      </c>
      <c r="L30" s="29" t="s">
        <v>267</v>
      </c>
      <c r="M30" s="33">
        <f t="shared" si="0"/>
        <v>7200000</v>
      </c>
      <c r="N30" s="34"/>
      <c r="O30" s="34"/>
      <c r="P30" s="34"/>
      <c r="Q30" s="34"/>
      <c r="R30" s="34"/>
      <c r="S30" s="34"/>
    </row>
    <row r="31" spans="1:19" x14ac:dyDescent="0.3">
      <c r="A31" s="29" t="s">
        <v>315</v>
      </c>
      <c r="B31" s="30">
        <v>46190</v>
      </c>
      <c r="C31" s="30">
        <v>46197</v>
      </c>
      <c r="D31" s="29" t="s">
        <v>287</v>
      </c>
      <c r="E31" s="29" t="s">
        <v>316</v>
      </c>
      <c r="F31" s="29" t="s">
        <v>277</v>
      </c>
      <c r="G31" s="29" t="s">
        <v>253</v>
      </c>
      <c r="H31" s="31">
        <v>6</v>
      </c>
      <c r="I31" s="31">
        <v>650000</v>
      </c>
      <c r="J31" s="32">
        <v>0</v>
      </c>
      <c r="K31" s="29" t="s">
        <v>266</v>
      </c>
      <c r="L31" s="29" t="s">
        <v>282</v>
      </c>
      <c r="M31" s="33">
        <f t="shared" si="0"/>
        <v>3900000</v>
      </c>
      <c r="N31" s="34"/>
      <c r="O31" s="34"/>
      <c r="P31" s="34"/>
      <c r="Q31" s="34"/>
      <c r="R31" s="34"/>
      <c r="S31" s="34"/>
    </row>
    <row r="32" spans="1:19" x14ac:dyDescent="0.3">
      <c r="A32" s="29" t="s">
        <v>317</v>
      </c>
      <c r="B32" s="30">
        <v>46201</v>
      </c>
      <c r="C32" s="30">
        <v>46202</v>
      </c>
      <c r="D32" s="29" t="s">
        <v>284</v>
      </c>
      <c r="E32" s="29" t="s">
        <v>291</v>
      </c>
      <c r="F32" s="29" t="s">
        <v>258</v>
      </c>
      <c r="G32" s="29" t="s">
        <v>259</v>
      </c>
      <c r="H32" s="31">
        <v>1</v>
      </c>
      <c r="I32" s="31">
        <v>8500000</v>
      </c>
      <c r="J32" s="32">
        <v>0</v>
      </c>
      <c r="K32" s="29" t="s">
        <v>266</v>
      </c>
      <c r="L32" s="29" t="s">
        <v>255</v>
      </c>
      <c r="M32" s="33">
        <f t="shared" si="0"/>
        <v>8500000</v>
      </c>
      <c r="N32" s="34"/>
      <c r="O32" s="34"/>
      <c r="P32" s="34"/>
      <c r="Q32" s="34"/>
      <c r="R32" s="34"/>
      <c r="S32" s="34"/>
    </row>
    <row r="33" spans="1:19" x14ac:dyDescent="0.3">
      <c r="A33" s="29" t="s">
        <v>318</v>
      </c>
      <c r="B33" s="30">
        <v>46205</v>
      </c>
      <c r="C33" s="30">
        <v>46211</v>
      </c>
      <c r="D33" s="29" t="s">
        <v>309</v>
      </c>
      <c r="E33" s="29" t="s">
        <v>276</v>
      </c>
      <c r="F33" s="29" t="s">
        <v>277</v>
      </c>
      <c r="G33" s="29" t="s">
        <v>265</v>
      </c>
      <c r="H33" s="31">
        <v>9</v>
      </c>
      <c r="I33" s="31">
        <v>480000</v>
      </c>
      <c r="J33" s="32">
        <v>0.05</v>
      </c>
      <c r="K33" s="29" t="s">
        <v>254</v>
      </c>
      <c r="L33" s="29" t="s">
        <v>261</v>
      </c>
      <c r="M33" s="33">
        <f t="shared" si="0"/>
        <v>4104000</v>
      </c>
      <c r="N33" s="34"/>
      <c r="O33" s="34"/>
      <c r="P33" s="34"/>
      <c r="Q33" s="34"/>
      <c r="R33" s="34"/>
      <c r="S33" s="34"/>
    </row>
    <row r="34" spans="1:19" x14ac:dyDescent="0.3">
      <c r="A34" s="29" t="s">
        <v>319</v>
      </c>
      <c r="B34" s="30">
        <v>46209</v>
      </c>
      <c r="C34" s="30">
        <v>46213</v>
      </c>
      <c r="D34" s="29" t="s">
        <v>250</v>
      </c>
      <c r="E34" s="29" t="s">
        <v>276</v>
      </c>
      <c r="F34" s="29" t="s">
        <v>277</v>
      </c>
      <c r="G34" s="29" t="s">
        <v>265</v>
      </c>
      <c r="H34" s="31">
        <v>11</v>
      </c>
      <c r="I34" s="31">
        <v>480000</v>
      </c>
      <c r="J34" s="32">
        <v>0</v>
      </c>
      <c r="K34" s="29" t="s">
        <v>266</v>
      </c>
      <c r="L34" s="29" t="s">
        <v>255</v>
      </c>
      <c r="M34" s="33">
        <f t="shared" ref="M34:M61" si="1">H34*I34*(1-J34)</f>
        <v>5280000</v>
      </c>
      <c r="N34" s="34"/>
      <c r="O34" s="34"/>
      <c r="P34" s="34"/>
      <c r="Q34" s="34"/>
      <c r="R34" s="34"/>
      <c r="S34" s="34"/>
    </row>
    <row r="35" spans="1:19" x14ac:dyDescent="0.3">
      <c r="A35" s="29" t="s">
        <v>320</v>
      </c>
      <c r="B35" s="30">
        <v>46213</v>
      </c>
      <c r="C35" s="30">
        <v>46220</v>
      </c>
      <c r="D35" s="29" t="s">
        <v>299</v>
      </c>
      <c r="E35" s="29" t="s">
        <v>257</v>
      </c>
      <c r="F35" s="29" t="s">
        <v>258</v>
      </c>
      <c r="G35" s="29" t="s">
        <v>265</v>
      </c>
      <c r="H35" s="31">
        <v>3</v>
      </c>
      <c r="I35" s="31">
        <v>2400000</v>
      </c>
      <c r="J35" s="32">
        <v>0.05</v>
      </c>
      <c r="K35" s="29" t="s">
        <v>266</v>
      </c>
      <c r="L35" s="29" t="s">
        <v>261</v>
      </c>
      <c r="M35" s="33">
        <f t="shared" si="1"/>
        <v>6840000</v>
      </c>
      <c r="N35" s="34"/>
      <c r="O35" s="34"/>
      <c r="P35" s="34"/>
      <c r="Q35" s="34"/>
      <c r="R35" s="34"/>
      <c r="S35" s="34"/>
    </row>
    <row r="36" spans="1:19" x14ac:dyDescent="0.3">
      <c r="A36" s="29" t="s">
        <v>321</v>
      </c>
      <c r="B36" s="30">
        <v>46215</v>
      </c>
      <c r="C36" s="30">
        <v>46221</v>
      </c>
      <c r="D36" s="29" t="s">
        <v>284</v>
      </c>
      <c r="E36" s="29" t="s">
        <v>291</v>
      </c>
      <c r="F36" s="29" t="s">
        <v>258</v>
      </c>
      <c r="G36" s="29" t="s">
        <v>272</v>
      </c>
      <c r="H36" s="31">
        <v>3</v>
      </c>
      <c r="I36" s="31">
        <v>8500000</v>
      </c>
      <c r="J36" s="32">
        <v>0.1</v>
      </c>
      <c r="K36" s="29" t="s">
        <v>266</v>
      </c>
      <c r="L36" s="29" t="s">
        <v>261</v>
      </c>
      <c r="M36" s="33">
        <f t="shared" si="1"/>
        <v>22950000</v>
      </c>
      <c r="N36" s="34"/>
      <c r="O36" s="34"/>
      <c r="P36" s="34"/>
      <c r="Q36" s="34"/>
      <c r="R36" s="34"/>
      <c r="S36" s="34"/>
    </row>
    <row r="37" spans="1:19" x14ac:dyDescent="0.3">
      <c r="A37" s="29" t="s">
        <v>322</v>
      </c>
      <c r="B37" s="30">
        <v>46219</v>
      </c>
      <c r="C37" s="30">
        <v>46222</v>
      </c>
      <c r="D37" s="29" t="s">
        <v>269</v>
      </c>
      <c r="E37" s="29" t="s">
        <v>276</v>
      </c>
      <c r="F37" s="29" t="s">
        <v>277</v>
      </c>
      <c r="G37" s="29" t="s">
        <v>259</v>
      </c>
      <c r="H37" s="31">
        <v>11</v>
      </c>
      <c r="I37" s="31">
        <v>480000</v>
      </c>
      <c r="J37" s="32">
        <v>0</v>
      </c>
      <c r="K37" s="29" t="s">
        <v>266</v>
      </c>
      <c r="L37" s="29" t="s">
        <v>282</v>
      </c>
      <c r="M37" s="33">
        <f t="shared" si="1"/>
        <v>5280000</v>
      </c>
      <c r="N37" s="34"/>
      <c r="O37" s="34"/>
      <c r="P37" s="34"/>
      <c r="Q37" s="34"/>
      <c r="R37" s="34"/>
      <c r="S37" s="34"/>
    </row>
    <row r="38" spans="1:19" x14ac:dyDescent="0.3">
      <c r="A38" s="29" t="s">
        <v>323</v>
      </c>
      <c r="B38" s="30">
        <v>46230</v>
      </c>
      <c r="C38" s="30">
        <v>46231</v>
      </c>
      <c r="D38" s="29" t="s">
        <v>281</v>
      </c>
      <c r="E38" s="29" t="s">
        <v>285</v>
      </c>
      <c r="F38" s="29" t="s">
        <v>258</v>
      </c>
      <c r="G38" s="29" t="s">
        <v>259</v>
      </c>
      <c r="H38" s="31">
        <v>3</v>
      </c>
      <c r="I38" s="31">
        <v>3200000</v>
      </c>
      <c r="J38" s="32">
        <v>0.05</v>
      </c>
      <c r="K38" s="29" t="s">
        <v>266</v>
      </c>
      <c r="L38" s="29" t="s">
        <v>255</v>
      </c>
      <c r="M38" s="33">
        <f t="shared" si="1"/>
        <v>9120000</v>
      </c>
      <c r="N38" s="34"/>
      <c r="O38" s="34"/>
      <c r="P38" s="34"/>
      <c r="Q38" s="34"/>
      <c r="R38" s="34"/>
      <c r="S38" s="34"/>
    </row>
    <row r="39" spans="1:19" x14ac:dyDescent="0.3">
      <c r="A39" s="29" t="s">
        <v>324</v>
      </c>
      <c r="B39" s="30">
        <v>46230</v>
      </c>
      <c r="C39" s="30">
        <v>46232</v>
      </c>
      <c r="D39" s="29" t="s">
        <v>299</v>
      </c>
      <c r="E39" s="29" t="s">
        <v>270</v>
      </c>
      <c r="F39" s="29" t="s">
        <v>271</v>
      </c>
      <c r="G39" s="29" t="s">
        <v>253</v>
      </c>
      <c r="H39" s="31">
        <v>48</v>
      </c>
      <c r="I39" s="31">
        <v>55000</v>
      </c>
      <c r="J39" s="32">
        <v>0</v>
      </c>
      <c r="K39" s="29" t="s">
        <v>266</v>
      </c>
      <c r="L39" s="29" t="s">
        <v>261</v>
      </c>
      <c r="M39" s="33">
        <f t="shared" si="1"/>
        <v>2640000</v>
      </c>
      <c r="N39" s="34"/>
      <c r="O39" s="34"/>
      <c r="P39" s="34"/>
      <c r="Q39" s="34"/>
      <c r="R39" s="34"/>
      <c r="S39" s="34"/>
    </row>
    <row r="40" spans="1:19" x14ac:dyDescent="0.3">
      <c r="A40" s="29" t="s">
        <v>325</v>
      </c>
      <c r="B40" s="30">
        <v>46231</v>
      </c>
      <c r="C40" s="30">
        <v>46238</v>
      </c>
      <c r="D40" s="29" t="s">
        <v>281</v>
      </c>
      <c r="E40" s="29" t="s">
        <v>264</v>
      </c>
      <c r="F40" s="29" t="s">
        <v>252</v>
      </c>
      <c r="G40" s="29" t="s">
        <v>292</v>
      </c>
      <c r="H40" s="31">
        <v>4</v>
      </c>
      <c r="I40" s="31">
        <v>1500000</v>
      </c>
      <c r="J40" s="32">
        <v>0.05</v>
      </c>
      <c r="K40" s="29" t="s">
        <v>254</v>
      </c>
      <c r="L40" s="29" t="s">
        <v>282</v>
      </c>
      <c r="M40" s="33">
        <f t="shared" si="1"/>
        <v>5700000</v>
      </c>
      <c r="N40" s="34"/>
      <c r="O40" s="34"/>
      <c r="P40" s="34"/>
      <c r="Q40" s="34"/>
      <c r="R40" s="34"/>
      <c r="S40" s="34"/>
    </row>
    <row r="41" spans="1:19" x14ac:dyDescent="0.3">
      <c r="A41" s="29" t="s">
        <v>326</v>
      </c>
      <c r="B41" s="30">
        <v>46242</v>
      </c>
      <c r="C41" s="30">
        <v>46244</v>
      </c>
      <c r="D41" s="29" t="s">
        <v>263</v>
      </c>
      <c r="E41" s="29" t="s">
        <v>257</v>
      </c>
      <c r="F41" s="29" t="s">
        <v>258</v>
      </c>
      <c r="G41" s="29" t="s">
        <v>265</v>
      </c>
      <c r="H41" s="31">
        <v>4</v>
      </c>
      <c r="I41" s="31">
        <v>2400000</v>
      </c>
      <c r="J41" s="32">
        <v>0</v>
      </c>
      <c r="K41" s="29" t="s">
        <v>254</v>
      </c>
      <c r="L41" s="29" t="s">
        <v>255</v>
      </c>
      <c r="M41" s="33">
        <f t="shared" si="1"/>
        <v>9600000</v>
      </c>
      <c r="N41" s="34"/>
      <c r="O41" s="34"/>
      <c r="P41" s="34"/>
      <c r="Q41" s="34"/>
      <c r="R41" s="34"/>
      <c r="S41" s="34"/>
    </row>
    <row r="42" spans="1:19" x14ac:dyDescent="0.3">
      <c r="A42" s="29" t="s">
        <v>327</v>
      </c>
      <c r="B42" s="30">
        <v>46242</v>
      </c>
      <c r="C42" s="30">
        <v>46245</v>
      </c>
      <c r="D42" s="29" t="s">
        <v>281</v>
      </c>
      <c r="E42" s="29" t="s">
        <v>257</v>
      </c>
      <c r="F42" s="29" t="s">
        <v>258</v>
      </c>
      <c r="G42" s="29" t="s">
        <v>259</v>
      </c>
      <c r="H42" s="31">
        <v>4</v>
      </c>
      <c r="I42" s="31">
        <v>2400000</v>
      </c>
      <c r="J42" s="32">
        <v>0.05</v>
      </c>
      <c r="K42" s="29" t="s">
        <v>266</v>
      </c>
      <c r="L42" s="29" t="s">
        <v>282</v>
      </c>
      <c r="M42" s="33">
        <f t="shared" si="1"/>
        <v>9120000</v>
      </c>
      <c r="N42" s="34"/>
      <c r="O42" s="34"/>
      <c r="P42" s="34"/>
      <c r="Q42" s="34"/>
      <c r="R42" s="34"/>
      <c r="S42" s="34"/>
    </row>
    <row r="43" spans="1:19" x14ac:dyDescent="0.3">
      <c r="A43" s="29" t="s">
        <v>328</v>
      </c>
      <c r="B43" s="30">
        <v>46243</v>
      </c>
      <c r="C43" s="30">
        <v>46250</v>
      </c>
      <c r="D43" s="29" t="s">
        <v>275</v>
      </c>
      <c r="E43" s="29" t="s">
        <v>279</v>
      </c>
      <c r="F43" s="29" t="s">
        <v>258</v>
      </c>
      <c r="G43" s="29" t="s">
        <v>272</v>
      </c>
      <c r="H43" s="31">
        <v>5</v>
      </c>
      <c r="I43" s="31">
        <v>1800000</v>
      </c>
      <c r="J43" s="32">
        <v>0</v>
      </c>
      <c r="K43" s="29" t="s">
        <v>254</v>
      </c>
      <c r="L43" s="29" t="s">
        <v>255</v>
      </c>
      <c r="M43" s="33">
        <f t="shared" si="1"/>
        <v>9000000</v>
      </c>
      <c r="N43" s="34"/>
      <c r="O43" s="34"/>
      <c r="P43" s="34"/>
      <c r="Q43" s="34"/>
      <c r="R43" s="34"/>
      <c r="S43" s="34"/>
    </row>
    <row r="44" spans="1:19" x14ac:dyDescent="0.3">
      <c r="A44" s="29" t="s">
        <v>329</v>
      </c>
      <c r="B44" s="30">
        <v>46244</v>
      </c>
      <c r="C44" s="30">
        <v>46245</v>
      </c>
      <c r="D44" s="29" t="s">
        <v>250</v>
      </c>
      <c r="E44" s="29" t="s">
        <v>257</v>
      </c>
      <c r="F44" s="29" t="s">
        <v>258</v>
      </c>
      <c r="G44" s="29" t="s">
        <v>292</v>
      </c>
      <c r="H44" s="31">
        <v>3</v>
      </c>
      <c r="I44" s="31">
        <v>2400000</v>
      </c>
      <c r="J44" s="32">
        <v>0</v>
      </c>
      <c r="K44" s="29" t="s">
        <v>254</v>
      </c>
      <c r="L44" s="29" t="s">
        <v>261</v>
      </c>
      <c r="M44" s="33">
        <f t="shared" si="1"/>
        <v>7200000</v>
      </c>
      <c r="N44" s="34"/>
      <c r="O44" s="34"/>
      <c r="P44" s="34"/>
      <c r="Q44" s="34"/>
      <c r="R44" s="34"/>
      <c r="S44" s="34"/>
    </row>
    <row r="45" spans="1:19" x14ac:dyDescent="0.3">
      <c r="A45" s="29" t="s">
        <v>330</v>
      </c>
      <c r="B45" s="30">
        <v>46246</v>
      </c>
      <c r="C45" s="30">
        <v>46248</v>
      </c>
      <c r="D45" s="29" t="s">
        <v>313</v>
      </c>
      <c r="E45" s="29" t="s">
        <v>291</v>
      </c>
      <c r="F45" s="29" t="s">
        <v>258</v>
      </c>
      <c r="G45" s="29" t="s">
        <v>253</v>
      </c>
      <c r="H45" s="31">
        <v>2</v>
      </c>
      <c r="I45" s="31">
        <v>8500000</v>
      </c>
      <c r="J45" s="32">
        <v>0.1</v>
      </c>
      <c r="K45" s="29" t="s">
        <v>266</v>
      </c>
      <c r="L45" s="29" t="s">
        <v>255</v>
      </c>
      <c r="M45" s="33">
        <f t="shared" si="1"/>
        <v>15300000</v>
      </c>
      <c r="N45" s="34"/>
      <c r="O45" s="34"/>
      <c r="P45" s="34"/>
      <c r="Q45" s="34"/>
      <c r="R45" s="34"/>
      <c r="S45" s="34"/>
    </row>
    <row r="46" spans="1:19" x14ac:dyDescent="0.3">
      <c r="A46" s="29" t="s">
        <v>331</v>
      </c>
      <c r="B46" s="30">
        <v>46252</v>
      </c>
      <c r="C46" s="30">
        <v>46254</v>
      </c>
      <c r="D46" s="29" t="s">
        <v>299</v>
      </c>
      <c r="E46" s="29" t="s">
        <v>288</v>
      </c>
      <c r="F46" s="29" t="s">
        <v>277</v>
      </c>
      <c r="G46" s="29" t="s">
        <v>272</v>
      </c>
      <c r="H46" s="31">
        <v>22</v>
      </c>
      <c r="I46" s="31">
        <v>250000</v>
      </c>
      <c r="J46" s="32">
        <v>0</v>
      </c>
      <c r="K46" s="29" t="s">
        <v>266</v>
      </c>
      <c r="L46" s="29" t="s">
        <v>261</v>
      </c>
      <c r="M46" s="33">
        <f t="shared" si="1"/>
        <v>5500000</v>
      </c>
      <c r="N46" s="34"/>
      <c r="O46" s="34"/>
      <c r="P46" s="34"/>
      <c r="Q46" s="34"/>
      <c r="R46" s="34"/>
      <c r="S46" s="34"/>
    </row>
    <row r="47" spans="1:19" x14ac:dyDescent="0.3">
      <c r="A47" s="29" t="s">
        <v>332</v>
      </c>
      <c r="B47" s="30">
        <v>46257</v>
      </c>
      <c r="C47" s="30">
        <v>46263</v>
      </c>
      <c r="D47" s="29" t="s">
        <v>309</v>
      </c>
      <c r="E47" s="29" t="s">
        <v>251</v>
      </c>
      <c r="F47" s="29" t="s">
        <v>252</v>
      </c>
      <c r="G47" s="29" t="s">
        <v>272</v>
      </c>
      <c r="H47" s="31">
        <v>5</v>
      </c>
      <c r="I47" s="31">
        <v>900000</v>
      </c>
      <c r="J47" s="32">
        <v>0.05</v>
      </c>
      <c r="K47" s="29" t="s">
        <v>260</v>
      </c>
      <c r="L47" s="29" t="s">
        <v>267</v>
      </c>
      <c r="M47" s="33">
        <f t="shared" si="1"/>
        <v>4275000</v>
      </c>
      <c r="N47" s="34"/>
      <c r="O47" s="34"/>
      <c r="P47" s="34"/>
      <c r="Q47" s="34"/>
      <c r="R47" s="34"/>
      <c r="S47" s="34"/>
    </row>
    <row r="48" spans="1:19" x14ac:dyDescent="0.3">
      <c r="A48" s="29" t="s">
        <v>333</v>
      </c>
      <c r="B48" s="30">
        <v>46261</v>
      </c>
      <c r="C48" s="30">
        <v>46262</v>
      </c>
      <c r="D48" s="29" t="s">
        <v>299</v>
      </c>
      <c r="E48" s="29" t="s">
        <v>279</v>
      </c>
      <c r="F48" s="29" t="s">
        <v>258</v>
      </c>
      <c r="G48" s="29" t="s">
        <v>259</v>
      </c>
      <c r="H48" s="31">
        <v>6</v>
      </c>
      <c r="I48" s="31">
        <v>1800000</v>
      </c>
      <c r="J48" s="32">
        <v>0.05</v>
      </c>
      <c r="K48" s="29" t="s">
        <v>266</v>
      </c>
      <c r="L48" s="29" t="s">
        <v>261</v>
      </c>
      <c r="M48" s="33">
        <f t="shared" si="1"/>
        <v>10260000</v>
      </c>
      <c r="N48" s="34"/>
      <c r="O48" s="34"/>
      <c r="P48" s="34"/>
      <c r="Q48" s="34"/>
      <c r="R48" s="34"/>
      <c r="S48" s="34"/>
    </row>
    <row r="49" spans="1:19" x14ac:dyDescent="0.3">
      <c r="A49" s="29" t="s">
        <v>334</v>
      </c>
      <c r="B49" s="30">
        <v>46263</v>
      </c>
      <c r="C49" s="30">
        <v>46268</v>
      </c>
      <c r="D49" s="29" t="s">
        <v>313</v>
      </c>
      <c r="E49" s="29" t="s">
        <v>291</v>
      </c>
      <c r="F49" s="29" t="s">
        <v>258</v>
      </c>
      <c r="G49" s="29" t="s">
        <v>272</v>
      </c>
      <c r="H49" s="31">
        <v>2</v>
      </c>
      <c r="I49" s="31">
        <v>8500000</v>
      </c>
      <c r="J49" s="32">
        <v>0</v>
      </c>
      <c r="K49" s="29" t="s">
        <v>266</v>
      </c>
      <c r="L49" s="29" t="s">
        <v>267</v>
      </c>
      <c r="M49" s="33">
        <f t="shared" si="1"/>
        <v>17000000</v>
      </c>
      <c r="N49" s="34"/>
      <c r="O49" s="34"/>
      <c r="P49" s="34"/>
      <c r="Q49" s="34"/>
      <c r="R49" s="34"/>
      <c r="S49" s="34"/>
    </row>
    <row r="50" spans="1:19" x14ac:dyDescent="0.3">
      <c r="A50" s="29" t="s">
        <v>335</v>
      </c>
      <c r="B50" s="30">
        <v>46267</v>
      </c>
      <c r="C50" s="30">
        <v>46274</v>
      </c>
      <c r="D50" s="29" t="s">
        <v>313</v>
      </c>
      <c r="E50" s="29" t="s">
        <v>285</v>
      </c>
      <c r="F50" s="29" t="s">
        <v>258</v>
      </c>
      <c r="G50" s="29" t="s">
        <v>259</v>
      </c>
      <c r="H50" s="31">
        <v>1</v>
      </c>
      <c r="I50" s="31">
        <v>3200000</v>
      </c>
      <c r="J50" s="32">
        <v>0.05</v>
      </c>
      <c r="K50" s="29" t="s">
        <v>266</v>
      </c>
      <c r="L50" s="29" t="s">
        <v>255</v>
      </c>
      <c r="M50" s="33">
        <f t="shared" si="1"/>
        <v>3040000</v>
      </c>
      <c r="N50" s="34"/>
      <c r="O50" s="34"/>
      <c r="P50" s="34"/>
      <c r="Q50" s="34"/>
      <c r="R50" s="34"/>
      <c r="S50" s="34"/>
    </row>
    <row r="51" spans="1:19" x14ac:dyDescent="0.3">
      <c r="A51" s="29" t="s">
        <v>336</v>
      </c>
      <c r="B51" s="30">
        <v>46272</v>
      </c>
      <c r="C51" s="30">
        <v>46277</v>
      </c>
      <c r="D51" s="29" t="s">
        <v>250</v>
      </c>
      <c r="E51" s="29" t="s">
        <v>270</v>
      </c>
      <c r="F51" s="29" t="s">
        <v>271</v>
      </c>
      <c r="G51" s="29" t="s">
        <v>292</v>
      </c>
      <c r="H51" s="31">
        <v>15</v>
      </c>
      <c r="I51" s="31">
        <v>55000</v>
      </c>
      <c r="J51" s="32">
        <v>0.05</v>
      </c>
      <c r="K51" s="29" t="s">
        <v>266</v>
      </c>
      <c r="L51" s="29" t="s">
        <v>282</v>
      </c>
      <c r="M51" s="33">
        <f t="shared" si="1"/>
        <v>783750</v>
      </c>
      <c r="N51" s="34"/>
      <c r="O51" s="34"/>
      <c r="P51" s="34"/>
      <c r="Q51" s="34"/>
      <c r="R51" s="34"/>
      <c r="S51" s="34"/>
    </row>
    <row r="52" spans="1:19" x14ac:dyDescent="0.3">
      <c r="A52" s="29" t="s">
        <v>337</v>
      </c>
      <c r="B52" s="30">
        <v>46278</v>
      </c>
      <c r="C52" s="30">
        <v>46283</v>
      </c>
      <c r="D52" s="29" t="s">
        <v>287</v>
      </c>
      <c r="E52" s="29" t="s">
        <v>285</v>
      </c>
      <c r="F52" s="29" t="s">
        <v>258</v>
      </c>
      <c r="G52" s="29" t="s">
        <v>272</v>
      </c>
      <c r="H52" s="31">
        <v>3</v>
      </c>
      <c r="I52" s="31">
        <v>3200000</v>
      </c>
      <c r="J52" s="32">
        <v>0.1</v>
      </c>
      <c r="K52" s="29" t="s">
        <v>266</v>
      </c>
      <c r="L52" s="29" t="s">
        <v>282</v>
      </c>
      <c r="M52" s="33">
        <f t="shared" si="1"/>
        <v>8640000</v>
      </c>
      <c r="N52" s="34"/>
      <c r="O52" s="34"/>
      <c r="P52" s="34"/>
      <c r="Q52" s="34"/>
      <c r="R52" s="34"/>
      <c r="S52" s="34"/>
    </row>
    <row r="53" spans="1:19" x14ac:dyDescent="0.3">
      <c r="A53" s="29" t="s">
        <v>338</v>
      </c>
      <c r="B53" s="30">
        <v>46278</v>
      </c>
      <c r="C53" s="30">
        <v>46281</v>
      </c>
      <c r="D53" s="29" t="s">
        <v>275</v>
      </c>
      <c r="E53" s="29" t="s">
        <v>270</v>
      </c>
      <c r="F53" s="29" t="s">
        <v>271</v>
      </c>
      <c r="G53" s="29" t="s">
        <v>272</v>
      </c>
      <c r="H53" s="31">
        <v>34</v>
      </c>
      <c r="I53" s="31">
        <v>55000</v>
      </c>
      <c r="J53" s="32">
        <v>0</v>
      </c>
      <c r="K53" s="29" t="s">
        <v>260</v>
      </c>
      <c r="L53" s="29" t="s">
        <v>255</v>
      </c>
      <c r="M53" s="33">
        <f t="shared" si="1"/>
        <v>1870000</v>
      </c>
      <c r="N53" s="34"/>
      <c r="O53" s="34"/>
      <c r="P53" s="34"/>
      <c r="Q53" s="34"/>
      <c r="R53" s="34"/>
      <c r="S53" s="34"/>
    </row>
    <row r="54" spans="1:19" x14ac:dyDescent="0.3">
      <c r="A54" s="29" t="s">
        <v>339</v>
      </c>
      <c r="B54" s="30">
        <v>46278</v>
      </c>
      <c r="C54" s="30">
        <v>46284</v>
      </c>
      <c r="D54" s="29" t="s">
        <v>263</v>
      </c>
      <c r="E54" s="29" t="s">
        <v>279</v>
      </c>
      <c r="F54" s="29" t="s">
        <v>258</v>
      </c>
      <c r="G54" s="29" t="s">
        <v>259</v>
      </c>
      <c r="H54" s="31">
        <v>4</v>
      </c>
      <c r="I54" s="31">
        <v>1800000</v>
      </c>
      <c r="J54" s="32">
        <v>0</v>
      </c>
      <c r="K54" s="29" t="s">
        <v>260</v>
      </c>
      <c r="L54" s="29" t="s">
        <v>261</v>
      </c>
      <c r="M54" s="33">
        <f t="shared" si="1"/>
        <v>7200000</v>
      </c>
      <c r="N54" s="34"/>
      <c r="O54" s="34"/>
      <c r="P54" s="34"/>
      <c r="Q54" s="34"/>
      <c r="R54" s="34"/>
      <c r="S54" s="34"/>
    </row>
    <row r="55" spans="1:19" x14ac:dyDescent="0.3">
      <c r="A55" s="29" t="s">
        <v>340</v>
      </c>
      <c r="B55" s="30">
        <v>46282</v>
      </c>
      <c r="C55" s="30">
        <v>46287</v>
      </c>
      <c r="D55" s="29" t="s">
        <v>263</v>
      </c>
      <c r="E55" s="29" t="s">
        <v>264</v>
      </c>
      <c r="F55" s="29" t="s">
        <v>252</v>
      </c>
      <c r="G55" s="29" t="s">
        <v>292</v>
      </c>
      <c r="H55" s="31">
        <v>6</v>
      </c>
      <c r="I55" s="31">
        <v>1500000</v>
      </c>
      <c r="J55" s="32">
        <v>0.05</v>
      </c>
      <c r="K55" s="29" t="s">
        <v>266</v>
      </c>
      <c r="L55" s="29" t="s">
        <v>255</v>
      </c>
      <c r="M55" s="33">
        <f t="shared" si="1"/>
        <v>8550000</v>
      </c>
      <c r="N55" s="34"/>
      <c r="O55" s="34"/>
      <c r="P55" s="34"/>
      <c r="Q55" s="34"/>
      <c r="R55" s="34"/>
      <c r="S55" s="34"/>
    </row>
    <row r="56" spans="1:19" x14ac:dyDescent="0.3">
      <c r="A56" s="29" t="s">
        <v>341</v>
      </c>
      <c r="B56" s="30">
        <v>46284</v>
      </c>
      <c r="C56" s="30">
        <v>46285</v>
      </c>
      <c r="D56" s="29" t="s">
        <v>275</v>
      </c>
      <c r="E56" s="29" t="s">
        <v>257</v>
      </c>
      <c r="F56" s="29" t="s">
        <v>258</v>
      </c>
      <c r="G56" s="29" t="s">
        <v>265</v>
      </c>
      <c r="H56" s="31">
        <v>2</v>
      </c>
      <c r="I56" s="31">
        <v>2400000</v>
      </c>
      <c r="J56" s="32">
        <v>0</v>
      </c>
      <c r="K56" s="29" t="s">
        <v>266</v>
      </c>
      <c r="L56" s="29" t="s">
        <v>255</v>
      </c>
      <c r="M56" s="33">
        <f t="shared" si="1"/>
        <v>4800000</v>
      </c>
      <c r="N56" s="34"/>
      <c r="O56" s="34"/>
      <c r="P56" s="34"/>
      <c r="Q56" s="34"/>
      <c r="R56" s="34"/>
      <c r="S56" s="34"/>
    </row>
    <row r="57" spans="1:19" x14ac:dyDescent="0.3">
      <c r="A57" s="29" t="s">
        <v>342</v>
      </c>
      <c r="B57" s="30">
        <v>46286</v>
      </c>
      <c r="C57" s="30">
        <v>46288</v>
      </c>
      <c r="D57" s="29" t="s">
        <v>309</v>
      </c>
      <c r="E57" s="29" t="s">
        <v>285</v>
      </c>
      <c r="F57" s="29" t="s">
        <v>258</v>
      </c>
      <c r="G57" s="29" t="s">
        <v>259</v>
      </c>
      <c r="H57" s="31">
        <v>6</v>
      </c>
      <c r="I57" s="31">
        <v>3200000</v>
      </c>
      <c r="J57" s="32">
        <v>0</v>
      </c>
      <c r="K57" s="29" t="s">
        <v>266</v>
      </c>
      <c r="L57" s="29" t="s">
        <v>267</v>
      </c>
      <c r="M57" s="33">
        <f t="shared" si="1"/>
        <v>19200000</v>
      </c>
      <c r="N57" s="34"/>
      <c r="O57" s="34"/>
      <c r="P57" s="34"/>
      <c r="Q57" s="34"/>
      <c r="R57" s="34"/>
      <c r="S57" s="34"/>
    </row>
    <row r="58" spans="1:19" x14ac:dyDescent="0.3">
      <c r="A58" s="29" t="s">
        <v>343</v>
      </c>
      <c r="B58" s="30">
        <v>46289</v>
      </c>
      <c r="C58" s="30"/>
      <c r="D58" s="29" t="s">
        <v>313</v>
      </c>
      <c r="E58" s="29" t="s">
        <v>279</v>
      </c>
      <c r="F58" s="29" t="s">
        <v>258</v>
      </c>
      <c r="G58" s="29" t="s">
        <v>265</v>
      </c>
      <c r="H58" s="31">
        <v>1</v>
      </c>
      <c r="I58" s="31">
        <v>1800000</v>
      </c>
      <c r="J58" s="32">
        <v>0</v>
      </c>
      <c r="K58" s="29" t="s">
        <v>266</v>
      </c>
      <c r="L58" s="29" t="s">
        <v>261</v>
      </c>
      <c r="M58" s="33">
        <f t="shared" si="1"/>
        <v>1800000</v>
      </c>
      <c r="N58" s="34"/>
      <c r="O58" s="34"/>
      <c r="P58" s="34"/>
      <c r="Q58" s="34"/>
      <c r="R58" s="34"/>
      <c r="S58" s="34"/>
    </row>
    <row r="59" spans="1:19" x14ac:dyDescent="0.3">
      <c r="A59" s="29" t="s">
        <v>344</v>
      </c>
      <c r="B59" s="30">
        <v>46289</v>
      </c>
      <c r="C59" s="30"/>
      <c r="D59" s="29" t="s">
        <v>290</v>
      </c>
      <c r="E59" s="29" t="s">
        <v>316</v>
      </c>
      <c r="F59" s="29" t="s">
        <v>277</v>
      </c>
      <c r="G59" s="29" t="s">
        <v>253</v>
      </c>
      <c r="H59" s="31">
        <v>11</v>
      </c>
      <c r="I59" s="31">
        <v>650000</v>
      </c>
      <c r="J59" s="32">
        <v>0</v>
      </c>
      <c r="K59" s="29" t="s">
        <v>254</v>
      </c>
      <c r="L59" s="29" t="s">
        <v>282</v>
      </c>
      <c r="M59" s="33">
        <f t="shared" si="1"/>
        <v>7150000</v>
      </c>
      <c r="N59" s="34"/>
      <c r="O59" s="34"/>
      <c r="P59" s="34"/>
      <c r="Q59" s="34"/>
      <c r="R59" s="34"/>
      <c r="S59" s="34"/>
    </row>
    <row r="60" spans="1:19" x14ac:dyDescent="0.3">
      <c r="A60" s="29" t="s">
        <v>345</v>
      </c>
      <c r="B60" s="30">
        <v>46289</v>
      </c>
      <c r="C60" s="30"/>
      <c r="D60" s="29" t="s">
        <v>309</v>
      </c>
      <c r="E60" s="29" t="s">
        <v>257</v>
      </c>
      <c r="F60" s="29" t="s">
        <v>258</v>
      </c>
      <c r="G60" s="29" t="s">
        <v>272</v>
      </c>
      <c r="H60" s="31">
        <v>2</v>
      </c>
      <c r="I60" s="31">
        <v>2400000</v>
      </c>
      <c r="J60" s="32">
        <v>0</v>
      </c>
      <c r="K60" s="29" t="s">
        <v>254</v>
      </c>
      <c r="L60" s="29" t="s">
        <v>282</v>
      </c>
      <c r="M60" s="33">
        <f t="shared" si="1"/>
        <v>4800000</v>
      </c>
      <c r="N60" s="34"/>
      <c r="O60" s="34"/>
      <c r="P60" s="34"/>
      <c r="Q60" s="34"/>
      <c r="R60" s="34"/>
      <c r="S60" s="34"/>
    </row>
    <row r="61" spans="1:19" x14ac:dyDescent="0.3">
      <c r="A61" s="29" t="s">
        <v>346</v>
      </c>
      <c r="B61" s="30">
        <v>46292</v>
      </c>
      <c r="C61" s="30"/>
      <c r="D61" s="29" t="s">
        <v>250</v>
      </c>
      <c r="E61" s="29" t="s">
        <v>285</v>
      </c>
      <c r="F61" s="29" t="s">
        <v>258</v>
      </c>
      <c r="G61" s="29" t="s">
        <v>292</v>
      </c>
      <c r="H61" s="31">
        <v>2</v>
      </c>
      <c r="I61" s="31">
        <v>3200000</v>
      </c>
      <c r="J61" s="32">
        <v>0.05</v>
      </c>
      <c r="K61" s="29" t="s">
        <v>254</v>
      </c>
      <c r="L61" s="29" t="s">
        <v>267</v>
      </c>
      <c r="M61" s="33">
        <f t="shared" si="1"/>
        <v>6080000</v>
      </c>
      <c r="N61" s="34"/>
      <c r="O61" s="34"/>
      <c r="P61" s="34"/>
      <c r="Q61" s="34"/>
      <c r="R61" s="34"/>
      <c r="S61" s="34"/>
    </row>
  </sheetData>
  <autoFilter ref="A1:S61" xr:uid="{00000000-0009-0000-0000-000002000000}"/>
  <pageMargins left="0.75" right="0.75" top="1" bottom="1" header="0.511811023622047" footer="0.511811023622047"/>
  <pageSetup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548235"/>
    <pageSetUpPr fitToPage="1"/>
  </sheetPr>
  <dimension ref="A1:F13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3" customWidth="1"/>
    <col min="2" max="2" width="28" customWidth="1"/>
    <col min="3" max="3" width="13" customWidth="1"/>
    <col min="4" max="4" width="15" customWidth="1"/>
    <col min="5" max="5" width="24" customWidth="1"/>
    <col min="6" max="6" width="9" customWidth="1"/>
  </cols>
  <sheetData>
    <row r="1" spans="1:6" x14ac:dyDescent="0.3">
      <c r="A1" s="13" t="s">
        <v>234</v>
      </c>
      <c r="B1" s="13" t="s">
        <v>243</v>
      </c>
      <c r="C1" s="13" t="s">
        <v>235</v>
      </c>
      <c r="D1" s="13" t="s">
        <v>244</v>
      </c>
      <c r="E1" s="13" t="s">
        <v>347</v>
      </c>
      <c r="F1" s="13" t="s">
        <v>348</v>
      </c>
    </row>
    <row r="2" spans="1:6" x14ac:dyDescent="0.3">
      <c r="A2" s="29" t="s">
        <v>291</v>
      </c>
      <c r="B2" s="29" t="s">
        <v>349</v>
      </c>
      <c r="C2" s="29" t="s">
        <v>258</v>
      </c>
      <c r="D2" s="33">
        <v>7200000</v>
      </c>
      <c r="E2" s="29" t="s">
        <v>350</v>
      </c>
      <c r="F2" s="31">
        <v>35</v>
      </c>
    </row>
    <row r="3" spans="1:6" x14ac:dyDescent="0.3">
      <c r="A3" s="29" t="s">
        <v>285</v>
      </c>
      <c r="B3" s="29" t="s">
        <v>351</v>
      </c>
      <c r="C3" s="29" t="s">
        <v>258</v>
      </c>
      <c r="D3" s="33">
        <v>2700000</v>
      </c>
      <c r="E3" s="29" t="s">
        <v>352</v>
      </c>
      <c r="F3" s="31">
        <v>80</v>
      </c>
    </row>
    <row r="4" spans="1:6" x14ac:dyDescent="0.3">
      <c r="A4" s="29" t="s">
        <v>279</v>
      </c>
      <c r="B4" s="29" t="s">
        <v>353</v>
      </c>
      <c r="C4" s="29" t="s">
        <v>258</v>
      </c>
      <c r="D4" s="33">
        <v>1450000</v>
      </c>
      <c r="E4" s="29" t="s">
        <v>350</v>
      </c>
      <c r="F4" s="31">
        <v>42</v>
      </c>
    </row>
    <row r="5" spans="1:6" x14ac:dyDescent="0.3">
      <c r="A5" s="29" t="s">
        <v>288</v>
      </c>
      <c r="B5" s="29" t="s">
        <v>354</v>
      </c>
      <c r="C5" s="29" t="s">
        <v>277</v>
      </c>
      <c r="D5" s="33">
        <v>160000</v>
      </c>
      <c r="E5" s="29" t="s">
        <v>355</v>
      </c>
      <c r="F5" s="31">
        <v>210</v>
      </c>
    </row>
    <row r="6" spans="1:6" x14ac:dyDescent="0.3">
      <c r="A6" s="29" t="s">
        <v>316</v>
      </c>
      <c r="B6" s="29" t="s">
        <v>356</v>
      </c>
      <c r="C6" s="29" t="s">
        <v>277</v>
      </c>
      <c r="D6" s="33">
        <v>450000</v>
      </c>
      <c r="E6" s="29" t="s">
        <v>355</v>
      </c>
      <c r="F6" s="31">
        <v>120</v>
      </c>
    </row>
    <row r="7" spans="1:6" x14ac:dyDescent="0.3">
      <c r="A7" s="29" t="s">
        <v>276</v>
      </c>
      <c r="B7" s="29" t="s">
        <v>357</v>
      </c>
      <c r="C7" s="29" t="s">
        <v>277</v>
      </c>
      <c r="D7" s="33">
        <v>320000</v>
      </c>
      <c r="E7" s="29" t="s">
        <v>355</v>
      </c>
      <c r="F7" s="31">
        <v>95</v>
      </c>
    </row>
    <row r="8" spans="1:6" x14ac:dyDescent="0.3">
      <c r="A8" s="29" t="s">
        <v>264</v>
      </c>
      <c r="B8" s="29" t="s">
        <v>358</v>
      </c>
      <c r="C8" s="29" t="s">
        <v>252</v>
      </c>
      <c r="D8" s="33">
        <v>1000000</v>
      </c>
      <c r="E8" s="29" t="s">
        <v>359</v>
      </c>
      <c r="F8" s="31">
        <v>28</v>
      </c>
    </row>
    <row r="9" spans="1:6" x14ac:dyDescent="0.3">
      <c r="A9" s="29" t="s">
        <v>251</v>
      </c>
      <c r="B9" s="29" t="s">
        <v>360</v>
      </c>
      <c r="C9" s="29" t="s">
        <v>252</v>
      </c>
      <c r="D9" s="33">
        <v>600000</v>
      </c>
      <c r="E9" s="29" t="s">
        <v>359</v>
      </c>
      <c r="F9" s="31">
        <v>40</v>
      </c>
    </row>
    <row r="10" spans="1:6" x14ac:dyDescent="0.3">
      <c r="A10" s="29" t="s">
        <v>257</v>
      </c>
      <c r="B10" s="29" t="s">
        <v>361</v>
      </c>
      <c r="C10" s="29" t="s">
        <v>258</v>
      </c>
      <c r="D10" s="33">
        <v>1950000</v>
      </c>
      <c r="E10" s="29" t="s">
        <v>352</v>
      </c>
      <c r="F10" s="31">
        <v>25</v>
      </c>
    </row>
    <row r="11" spans="1:6" x14ac:dyDescent="0.3">
      <c r="A11" s="29" t="s">
        <v>270</v>
      </c>
      <c r="B11" s="29" t="s">
        <v>362</v>
      </c>
      <c r="C11" s="29" t="s">
        <v>271</v>
      </c>
      <c r="D11" s="33">
        <v>40000</v>
      </c>
      <c r="E11" s="29" t="s">
        <v>363</v>
      </c>
      <c r="F11" s="31">
        <v>600</v>
      </c>
    </row>
    <row r="13" spans="1:6" x14ac:dyDescent="0.3">
      <c r="A13" s="19" t="s">
        <v>364</v>
      </c>
    </row>
  </sheetData>
  <pageMargins left="0.75" right="0.75" top="1" bottom="1" header="0.511811023622047" footer="0.511811023622047"/>
  <pageSetup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48235"/>
    <pageSetUpPr fitToPage="1"/>
  </sheetPr>
  <dimension ref="A1:F6"/>
  <sheetViews>
    <sheetView zoomScaleNormal="100" workbookViewId="0"/>
  </sheetViews>
  <sheetFormatPr defaultColWidth="8.6640625" defaultRowHeight="14.4" x14ac:dyDescent="0.3"/>
  <cols>
    <col min="1" max="1" width="20" customWidth="1"/>
    <col min="2" max="6" width="16" customWidth="1"/>
  </cols>
  <sheetData>
    <row r="1" spans="1:6" x14ac:dyDescent="0.3">
      <c r="A1" s="13" t="s">
        <v>236</v>
      </c>
      <c r="B1" s="13" t="s">
        <v>265</v>
      </c>
      <c r="C1" s="13" t="s">
        <v>292</v>
      </c>
      <c r="D1" s="13" t="s">
        <v>272</v>
      </c>
      <c r="E1" s="13" t="s">
        <v>253</v>
      </c>
      <c r="F1" s="13" t="s">
        <v>259</v>
      </c>
    </row>
    <row r="2" spans="1:6" x14ac:dyDescent="0.3">
      <c r="A2" s="35" t="s">
        <v>365</v>
      </c>
      <c r="B2" s="33">
        <v>75000000</v>
      </c>
      <c r="C2" s="33">
        <v>60000000</v>
      </c>
      <c r="D2" s="33">
        <v>100000000</v>
      </c>
      <c r="E2" s="33">
        <v>55000000</v>
      </c>
      <c r="F2" s="33">
        <v>140000000</v>
      </c>
    </row>
    <row r="3" spans="1:6" x14ac:dyDescent="0.3">
      <c r="A3" s="35" t="s">
        <v>366</v>
      </c>
      <c r="B3" s="29" t="s">
        <v>367</v>
      </c>
      <c r="C3" s="29" t="s">
        <v>368</v>
      </c>
      <c r="D3" s="29" t="s">
        <v>369</v>
      </c>
      <c r="E3" s="29" t="s">
        <v>370</v>
      </c>
      <c r="F3" s="29" t="s">
        <v>371</v>
      </c>
    </row>
    <row r="4" spans="1:6" x14ac:dyDescent="0.3">
      <c r="A4" s="35" t="s">
        <v>372</v>
      </c>
      <c r="B4" s="36">
        <v>4</v>
      </c>
      <c r="C4" s="36">
        <v>3</v>
      </c>
      <c r="D4" s="36">
        <v>3</v>
      </c>
      <c r="E4" s="36">
        <v>2</v>
      </c>
      <c r="F4" s="36">
        <v>3</v>
      </c>
    </row>
    <row r="6" spans="1:6" x14ac:dyDescent="0.3">
      <c r="A6" s="19" t="s">
        <v>373</v>
      </c>
    </row>
  </sheetData>
  <pageMargins left="0.75" right="0.75" top="1" bottom="1" header="0.511811023622047" footer="0.511811023622047"/>
  <pageSetup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548235"/>
    <pageSetUpPr fitToPage="1"/>
  </sheetPr>
  <dimension ref="A1:V21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6640625" defaultRowHeight="14.4" x14ac:dyDescent="0.3"/>
  <cols>
    <col min="1" max="2" width="13" customWidth="1"/>
    <col min="3" max="3" width="15" customWidth="1"/>
    <col min="4" max="4" width="24" customWidth="1"/>
    <col min="5" max="5" width="14" customWidth="1"/>
    <col min="6" max="7" width="12" customWidth="1"/>
    <col min="8" max="8" width="16" customWidth="1"/>
    <col min="9" max="9" width="34" customWidth="1"/>
    <col min="10" max="10" width="15" customWidth="1"/>
    <col min="11" max="11" width="20" customWidth="1"/>
    <col min="12" max="12" width="24" customWidth="1"/>
    <col min="13" max="13" width="34" customWidth="1"/>
    <col min="14" max="14" width="8" customWidth="1"/>
    <col min="15" max="15" width="18" customWidth="1"/>
    <col min="16" max="18" width="16" customWidth="1"/>
    <col min="19" max="19" width="12" customWidth="1"/>
    <col min="20" max="20" width="14" customWidth="1"/>
    <col min="21" max="21" width="3" customWidth="1"/>
    <col min="22" max="22" width="16" customWidth="1"/>
  </cols>
  <sheetData>
    <row r="1" spans="1:22" ht="30" customHeight="1" x14ac:dyDescent="0.3">
      <c r="A1" s="13" t="s">
        <v>374</v>
      </c>
      <c r="B1" s="13" t="s">
        <v>375</v>
      </c>
      <c r="C1" s="13" t="s">
        <v>376</v>
      </c>
      <c r="D1" s="13" t="s">
        <v>377</v>
      </c>
      <c r="E1" s="13" t="s">
        <v>378</v>
      </c>
      <c r="F1" s="13" t="s">
        <v>379</v>
      </c>
      <c r="G1" s="13" t="s">
        <v>380</v>
      </c>
      <c r="H1" s="13" t="s">
        <v>381</v>
      </c>
      <c r="I1" s="13" t="s">
        <v>382</v>
      </c>
      <c r="J1" s="13" t="s">
        <v>383</v>
      </c>
      <c r="K1" s="15" t="s">
        <v>384</v>
      </c>
      <c r="L1" s="15" t="s">
        <v>385</v>
      </c>
      <c r="M1" s="15" t="s">
        <v>386</v>
      </c>
      <c r="N1" s="15" t="s">
        <v>387</v>
      </c>
      <c r="O1" s="15" t="s">
        <v>388</v>
      </c>
      <c r="P1" s="15" t="s">
        <v>389</v>
      </c>
      <c r="Q1" s="15" t="s">
        <v>390</v>
      </c>
      <c r="R1" s="15" t="s">
        <v>391</v>
      </c>
      <c r="S1" s="15" t="s">
        <v>392</v>
      </c>
      <c r="T1" s="15" t="s">
        <v>393</v>
      </c>
      <c r="V1" s="7" t="s">
        <v>394</v>
      </c>
    </row>
    <row r="2" spans="1:22" x14ac:dyDescent="0.3">
      <c r="A2" s="29" t="s">
        <v>395</v>
      </c>
      <c r="B2" s="29" t="s">
        <v>396</v>
      </c>
      <c r="C2" s="29" t="s">
        <v>397</v>
      </c>
      <c r="D2" s="29" t="s">
        <v>398</v>
      </c>
      <c r="E2" s="29" t="s">
        <v>399</v>
      </c>
      <c r="F2" s="30">
        <v>33678</v>
      </c>
      <c r="G2" s="30">
        <v>43647</v>
      </c>
      <c r="H2" s="29" t="s">
        <v>400</v>
      </c>
      <c r="I2" s="29" t="s">
        <v>401</v>
      </c>
      <c r="J2" s="33">
        <v>9500000</v>
      </c>
      <c r="K2" s="34"/>
      <c r="L2" s="34"/>
      <c r="M2" s="34"/>
      <c r="N2" s="34"/>
      <c r="O2" s="34"/>
      <c r="P2" s="34"/>
      <c r="Q2" s="34"/>
      <c r="R2" s="34"/>
      <c r="S2" s="34"/>
      <c r="T2" s="34"/>
      <c r="V2" s="37">
        <v>46321</v>
      </c>
    </row>
    <row r="3" spans="1:22" x14ac:dyDescent="0.3">
      <c r="A3" s="29" t="s">
        <v>402</v>
      </c>
      <c r="B3" s="29" t="s">
        <v>403</v>
      </c>
      <c r="C3" s="29" t="s">
        <v>404</v>
      </c>
      <c r="D3" s="29" t="s">
        <v>405</v>
      </c>
      <c r="E3" s="29" t="s">
        <v>406</v>
      </c>
      <c r="F3" s="30">
        <v>33179</v>
      </c>
      <c r="G3" s="30">
        <v>42779</v>
      </c>
      <c r="H3" s="29" t="s">
        <v>407</v>
      </c>
      <c r="I3" s="29" t="s">
        <v>408</v>
      </c>
      <c r="J3" s="33">
        <v>12500000</v>
      </c>
      <c r="K3" s="34"/>
      <c r="L3" s="34"/>
      <c r="M3" s="34"/>
      <c r="N3" s="34"/>
      <c r="O3" s="34"/>
      <c r="P3" s="34"/>
      <c r="Q3" s="34"/>
      <c r="R3" s="34"/>
      <c r="S3" s="34"/>
      <c r="T3" s="34"/>
      <c r="V3" s="38" t="s">
        <v>409</v>
      </c>
    </row>
    <row r="4" spans="1:22" x14ac:dyDescent="0.3">
      <c r="A4" s="29" t="s">
        <v>410</v>
      </c>
      <c r="B4" s="29" t="s">
        <v>411</v>
      </c>
      <c r="C4" s="29" t="s">
        <v>412</v>
      </c>
      <c r="D4" s="29" t="s">
        <v>413</v>
      </c>
      <c r="E4" s="29" t="s">
        <v>414</v>
      </c>
      <c r="F4" s="30">
        <v>34871</v>
      </c>
      <c r="G4" s="30">
        <v>44200</v>
      </c>
      <c r="H4" s="29" t="s">
        <v>415</v>
      </c>
      <c r="I4" s="29" t="s">
        <v>416</v>
      </c>
      <c r="J4" s="33">
        <v>14000000</v>
      </c>
      <c r="K4" s="34"/>
      <c r="L4" s="34"/>
      <c r="M4" s="34"/>
      <c r="N4" s="34"/>
      <c r="O4" s="34"/>
      <c r="P4" s="34"/>
      <c r="Q4" s="34"/>
      <c r="R4" s="34"/>
      <c r="S4" s="34"/>
      <c r="T4" s="34"/>
    </row>
    <row r="5" spans="1:22" x14ac:dyDescent="0.3">
      <c r="A5" s="29" t="s">
        <v>417</v>
      </c>
      <c r="B5" s="29" t="s">
        <v>418</v>
      </c>
      <c r="C5" s="29" t="s">
        <v>419</v>
      </c>
      <c r="D5" s="29" t="s">
        <v>420</v>
      </c>
      <c r="E5" s="29" t="s">
        <v>421</v>
      </c>
      <c r="F5" s="30">
        <v>34221</v>
      </c>
      <c r="G5" s="30">
        <v>43241</v>
      </c>
      <c r="H5" s="29" t="s">
        <v>422</v>
      </c>
      <c r="I5" s="29" t="s">
        <v>423</v>
      </c>
      <c r="J5" s="33">
        <v>8500000</v>
      </c>
      <c r="K5" s="34"/>
      <c r="L5" s="34"/>
      <c r="M5" s="34"/>
      <c r="N5" s="34"/>
      <c r="O5" s="34"/>
      <c r="P5" s="34"/>
      <c r="Q5" s="34"/>
      <c r="R5" s="34"/>
      <c r="S5" s="34"/>
      <c r="T5" s="34"/>
    </row>
    <row r="6" spans="1:22" x14ac:dyDescent="0.3">
      <c r="A6" s="29" t="s">
        <v>424</v>
      </c>
      <c r="B6" s="29" t="s">
        <v>425</v>
      </c>
      <c r="C6" s="29" t="s">
        <v>426</v>
      </c>
      <c r="D6" s="29" t="s">
        <v>427</v>
      </c>
      <c r="E6" s="29" t="s">
        <v>428</v>
      </c>
      <c r="F6" s="30">
        <v>35094</v>
      </c>
      <c r="G6" s="30">
        <v>44788</v>
      </c>
      <c r="H6" s="29" t="s">
        <v>429</v>
      </c>
      <c r="I6" s="29" t="s">
        <v>430</v>
      </c>
      <c r="J6" s="33">
        <v>10000000</v>
      </c>
      <c r="K6" s="34"/>
      <c r="L6" s="34"/>
      <c r="M6" s="34"/>
      <c r="N6" s="34"/>
      <c r="O6" s="34"/>
      <c r="P6" s="34"/>
      <c r="Q6" s="34"/>
      <c r="R6" s="34"/>
      <c r="S6" s="34"/>
      <c r="T6" s="34"/>
    </row>
    <row r="7" spans="1:22" x14ac:dyDescent="0.3">
      <c r="A7" s="29" t="s">
        <v>431</v>
      </c>
      <c r="B7" s="29" t="s">
        <v>432</v>
      </c>
      <c r="C7" s="29" t="s">
        <v>433</v>
      </c>
      <c r="D7" s="29" t="s">
        <v>434</v>
      </c>
      <c r="E7" s="29" t="s">
        <v>399</v>
      </c>
      <c r="F7" s="30">
        <v>32854</v>
      </c>
      <c r="G7" s="30">
        <v>42436</v>
      </c>
      <c r="H7" s="29" t="s">
        <v>435</v>
      </c>
      <c r="I7" s="29" t="s">
        <v>436</v>
      </c>
      <c r="J7" s="33">
        <v>11000000</v>
      </c>
      <c r="K7" s="34"/>
      <c r="L7" s="34"/>
      <c r="M7" s="34"/>
      <c r="N7" s="34"/>
      <c r="O7" s="34"/>
      <c r="P7" s="34"/>
      <c r="Q7" s="34"/>
      <c r="R7" s="34"/>
      <c r="S7" s="34"/>
      <c r="T7" s="34"/>
    </row>
    <row r="8" spans="1:22" x14ac:dyDescent="0.3">
      <c r="A8" s="29" t="s">
        <v>437</v>
      </c>
      <c r="B8" s="29" t="s">
        <v>438</v>
      </c>
      <c r="C8" s="29" t="s">
        <v>439</v>
      </c>
      <c r="D8" s="29" t="s">
        <v>440</v>
      </c>
      <c r="E8" s="29" t="s">
        <v>406</v>
      </c>
      <c r="F8" s="30">
        <v>35903</v>
      </c>
      <c r="G8" s="30">
        <v>44977</v>
      </c>
      <c r="H8" s="29" t="s">
        <v>441</v>
      </c>
      <c r="I8" s="29" t="s">
        <v>442</v>
      </c>
      <c r="J8" s="33">
        <v>7500000</v>
      </c>
      <c r="K8" s="34"/>
      <c r="L8" s="34"/>
      <c r="M8" s="34"/>
      <c r="N8" s="34"/>
      <c r="O8" s="34"/>
      <c r="P8" s="34"/>
      <c r="Q8" s="34"/>
      <c r="R8" s="34"/>
      <c r="S8" s="34"/>
      <c r="T8" s="34"/>
    </row>
    <row r="9" spans="1:22" x14ac:dyDescent="0.3">
      <c r="A9" s="29" t="s">
        <v>443</v>
      </c>
      <c r="B9" s="29" t="s">
        <v>444</v>
      </c>
      <c r="C9" s="29" t="s">
        <v>445</v>
      </c>
      <c r="D9" s="29" t="s">
        <v>446</v>
      </c>
      <c r="E9" s="29" t="s">
        <v>414</v>
      </c>
      <c r="F9" s="30">
        <v>33475</v>
      </c>
      <c r="G9" s="30">
        <v>42289</v>
      </c>
      <c r="H9" s="29" t="s">
        <v>447</v>
      </c>
      <c r="I9" s="29" t="s">
        <v>448</v>
      </c>
      <c r="J9" s="33">
        <v>9000000</v>
      </c>
      <c r="K9" s="34"/>
      <c r="L9" s="34"/>
      <c r="M9" s="34"/>
      <c r="N9" s="34"/>
      <c r="O9" s="34"/>
      <c r="P9" s="34"/>
      <c r="Q9" s="34"/>
      <c r="R9" s="34"/>
      <c r="S9" s="34"/>
      <c r="T9" s="34"/>
    </row>
    <row r="10" spans="1:22" x14ac:dyDescent="0.3">
      <c r="A10" s="29" t="s">
        <v>449</v>
      </c>
      <c r="B10" s="29" t="s">
        <v>450</v>
      </c>
      <c r="C10" s="29" t="s">
        <v>451</v>
      </c>
      <c r="D10" s="29" t="s">
        <v>452</v>
      </c>
      <c r="E10" s="29" t="s">
        <v>453</v>
      </c>
      <c r="F10" s="30">
        <v>31904</v>
      </c>
      <c r="G10" s="30">
        <v>41792</v>
      </c>
      <c r="H10" s="29" t="s">
        <v>454</v>
      </c>
      <c r="I10" s="29" t="s">
        <v>455</v>
      </c>
      <c r="J10" s="33">
        <v>22000000</v>
      </c>
      <c r="K10" s="34"/>
      <c r="L10" s="34"/>
      <c r="M10" s="34"/>
      <c r="N10" s="34"/>
      <c r="O10" s="34"/>
      <c r="P10" s="34"/>
      <c r="Q10" s="34"/>
      <c r="R10" s="34"/>
      <c r="S10" s="34"/>
      <c r="T10" s="34"/>
    </row>
    <row r="11" spans="1:22" x14ac:dyDescent="0.3">
      <c r="A11" s="29" t="s">
        <v>456</v>
      </c>
      <c r="B11" s="29" t="s">
        <v>457</v>
      </c>
      <c r="C11" s="29" t="s">
        <v>458</v>
      </c>
      <c r="D11" s="29" t="s">
        <v>459</v>
      </c>
      <c r="E11" s="29" t="s">
        <v>453</v>
      </c>
      <c r="F11" s="30">
        <v>32187</v>
      </c>
      <c r="G11" s="30">
        <v>42632</v>
      </c>
      <c r="H11" s="29" t="s">
        <v>460</v>
      </c>
      <c r="I11" s="29" t="s">
        <v>461</v>
      </c>
      <c r="J11" s="33">
        <v>13500000</v>
      </c>
      <c r="K11" s="34"/>
      <c r="L11" s="34"/>
      <c r="M11" s="34"/>
      <c r="N11" s="34"/>
      <c r="O11" s="34"/>
      <c r="P11" s="34"/>
      <c r="Q11" s="34"/>
      <c r="R11" s="34"/>
      <c r="S11" s="34"/>
      <c r="T11" s="34"/>
    </row>
    <row r="12" spans="1:22" x14ac:dyDescent="0.3">
      <c r="A12" s="29" t="s">
        <v>462</v>
      </c>
      <c r="B12" s="29" t="s">
        <v>463</v>
      </c>
      <c r="C12" s="29" t="s">
        <v>464</v>
      </c>
      <c r="D12" s="29" t="s">
        <v>465</v>
      </c>
      <c r="E12" s="29" t="s">
        <v>421</v>
      </c>
      <c r="F12" s="30">
        <v>35706</v>
      </c>
      <c r="G12" s="30">
        <v>45299</v>
      </c>
      <c r="H12" s="29" t="s">
        <v>466</v>
      </c>
      <c r="I12" s="29" t="s">
        <v>467</v>
      </c>
      <c r="J12" s="33">
        <v>7000000</v>
      </c>
      <c r="K12" s="34"/>
      <c r="L12" s="34"/>
      <c r="M12" s="34"/>
      <c r="N12" s="34"/>
      <c r="O12" s="34"/>
      <c r="P12" s="34"/>
      <c r="Q12" s="34"/>
      <c r="R12" s="34"/>
      <c r="S12" s="34"/>
      <c r="T12" s="34"/>
    </row>
    <row r="13" spans="1:22" x14ac:dyDescent="0.3">
      <c r="A13" s="29" t="s">
        <v>468</v>
      </c>
      <c r="B13" s="29" t="s">
        <v>469</v>
      </c>
      <c r="C13" s="29" t="s">
        <v>470</v>
      </c>
      <c r="D13" s="29" t="s">
        <v>471</v>
      </c>
      <c r="E13" s="29" t="s">
        <v>399</v>
      </c>
      <c r="F13" s="30">
        <v>31257</v>
      </c>
      <c r="G13" s="30">
        <v>41379</v>
      </c>
      <c r="H13" s="29" t="s">
        <v>472</v>
      </c>
      <c r="I13" s="29" t="s">
        <v>473</v>
      </c>
      <c r="J13" s="33">
        <v>24000000</v>
      </c>
      <c r="K13" s="34"/>
      <c r="L13" s="34"/>
      <c r="M13" s="34"/>
      <c r="N13" s="34"/>
      <c r="O13" s="34"/>
      <c r="P13" s="34"/>
      <c r="Q13" s="34"/>
      <c r="R13" s="34"/>
      <c r="S13" s="34"/>
      <c r="T13" s="34"/>
    </row>
    <row r="14" spans="1:22" x14ac:dyDescent="0.3">
      <c r="A14" s="29" t="s">
        <v>474</v>
      </c>
      <c r="B14" s="29" t="s">
        <v>475</v>
      </c>
      <c r="C14" s="29" t="s">
        <v>476</v>
      </c>
      <c r="D14" s="29" t="s">
        <v>477</v>
      </c>
      <c r="E14" s="29" t="s">
        <v>428</v>
      </c>
      <c r="F14" s="30">
        <v>36246</v>
      </c>
      <c r="G14" s="30">
        <v>45453</v>
      </c>
      <c r="H14" s="29" t="s">
        <v>478</v>
      </c>
      <c r="I14" s="29" t="s">
        <v>479</v>
      </c>
      <c r="J14" s="33">
        <v>7200000</v>
      </c>
      <c r="K14" s="34"/>
      <c r="L14" s="34"/>
      <c r="M14" s="34"/>
      <c r="N14" s="34"/>
      <c r="O14" s="34"/>
      <c r="P14" s="34"/>
      <c r="Q14" s="34"/>
      <c r="R14" s="34"/>
      <c r="S14" s="34"/>
      <c r="T14" s="34"/>
    </row>
    <row r="15" spans="1:22" x14ac:dyDescent="0.3">
      <c r="A15" s="29" t="s">
        <v>480</v>
      </c>
      <c r="B15" s="29" t="s">
        <v>481</v>
      </c>
      <c r="C15" s="29" t="s">
        <v>482</v>
      </c>
      <c r="D15" s="29" t="s">
        <v>483</v>
      </c>
      <c r="E15" s="29" t="s">
        <v>414</v>
      </c>
      <c r="F15" s="30">
        <v>34649</v>
      </c>
      <c r="G15" s="30">
        <v>44137</v>
      </c>
      <c r="H15" s="29" t="s">
        <v>484</v>
      </c>
      <c r="I15" s="29" t="s">
        <v>485</v>
      </c>
      <c r="J15" s="33">
        <v>16500000</v>
      </c>
      <c r="K15" s="34"/>
      <c r="L15" s="34"/>
      <c r="M15" s="34"/>
      <c r="N15" s="34"/>
      <c r="O15" s="34"/>
      <c r="P15" s="34"/>
      <c r="Q15" s="34"/>
      <c r="R15" s="34"/>
      <c r="S15" s="34"/>
      <c r="T15" s="34"/>
    </row>
    <row r="16" spans="1:22" x14ac:dyDescent="0.3">
      <c r="A16" s="29" t="s">
        <v>486</v>
      </c>
      <c r="B16" s="29" t="s">
        <v>487</v>
      </c>
      <c r="C16" s="29" t="s">
        <v>488</v>
      </c>
      <c r="D16" s="29" t="s">
        <v>489</v>
      </c>
      <c r="E16" s="29" t="s">
        <v>406</v>
      </c>
      <c r="F16" s="30">
        <v>31431</v>
      </c>
      <c r="G16" s="30">
        <v>42009</v>
      </c>
      <c r="H16" s="29" t="s">
        <v>490</v>
      </c>
      <c r="I16" s="29" t="s">
        <v>491</v>
      </c>
      <c r="J16" s="33">
        <v>23000000</v>
      </c>
      <c r="K16" s="34"/>
      <c r="L16" s="34"/>
      <c r="M16" s="34"/>
      <c r="N16" s="34"/>
      <c r="O16" s="34"/>
      <c r="P16" s="34"/>
      <c r="Q16" s="34"/>
      <c r="R16" s="34"/>
      <c r="S16" s="34"/>
      <c r="T16" s="34"/>
    </row>
    <row r="17" spans="1:20" x14ac:dyDescent="0.3">
      <c r="A17" s="29" t="s">
        <v>492</v>
      </c>
      <c r="B17" s="29" t="s">
        <v>493</v>
      </c>
      <c r="C17" s="29" t="s">
        <v>494</v>
      </c>
      <c r="D17" s="29" t="s">
        <v>495</v>
      </c>
      <c r="E17" s="29" t="s">
        <v>453</v>
      </c>
      <c r="F17" s="30">
        <v>36683</v>
      </c>
      <c r="G17" s="30">
        <v>45719</v>
      </c>
      <c r="H17" s="29" t="s">
        <v>496</v>
      </c>
      <c r="I17" s="29" t="s">
        <v>497</v>
      </c>
      <c r="J17" s="33">
        <v>6500000</v>
      </c>
      <c r="K17" s="34"/>
      <c r="L17" s="34"/>
      <c r="M17" s="34"/>
      <c r="N17" s="34"/>
      <c r="O17" s="34"/>
      <c r="P17" s="34"/>
      <c r="Q17" s="34"/>
      <c r="R17" s="34"/>
      <c r="S17" s="34"/>
      <c r="T17" s="34"/>
    </row>
    <row r="18" spans="1:20" x14ac:dyDescent="0.3">
      <c r="A18" s="29" t="s">
        <v>498</v>
      </c>
      <c r="B18" s="29" t="s">
        <v>499</v>
      </c>
      <c r="C18" s="29" t="s">
        <v>500</v>
      </c>
      <c r="D18" s="29" t="s">
        <v>501</v>
      </c>
      <c r="E18" s="29" t="s">
        <v>428</v>
      </c>
      <c r="F18" s="30">
        <v>35423</v>
      </c>
      <c r="G18" s="30">
        <v>44403</v>
      </c>
      <c r="H18" s="29" t="s">
        <v>502</v>
      </c>
      <c r="I18" s="29" t="s">
        <v>503</v>
      </c>
      <c r="J18" s="33">
        <v>9800000</v>
      </c>
      <c r="K18" s="34"/>
      <c r="L18" s="34"/>
      <c r="M18" s="34"/>
      <c r="N18" s="34"/>
      <c r="O18" s="34"/>
      <c r="P18" s="34"/>
      <c r="Q18" s="34"/>
      <c r="R18" s="34"/>
      <c r="S18" s="34"/>
      <c r="T18" s="34"/>
    </row>
    <row r="19" spans="1:20" x14ac:dyDescent="0.3">
      <c r="A19" s="29" t="s">
        <v>504</v>
      </c>
      <c r="B19" s="29" t="s">
        <v>505</v>
      </c>
      <c r="C19" s="29" t="s">
        <v>506</v>
      </c>
      <c r="D19" s="29" t="s">
        <v>507</v>
      </c>
      <c r="E19" s="29" t="s">
        <v>414</v>
      </c>
      <c r="F19" s="30">
        <v>33698</v>
      </c>
      <c r="G19" s="30">
        <v>43353</v>
      </c>
      <c r="H19" s="29" t="s">
        <v>508</v>
      </c>
      <c r="I19" s="29" t="s">
        <v>509</v>
      </c>
      <c r="J19" s="33">
        <v>15000000</v>
      </c>
      <c r="K19" s="34"/>
      <c r="L19" s="34"/>
      <c r="M19" s="34"/>
      <c r="N19" s="34"/>
      <c r="O19" s="34"/>
      <c r="P19" s="34"/>
      <c r="Q19" s="34"/>
      <c r="R19" s="34"/>
      <c r="S19" s="34"/>
      <c r="T19" s="34"/>
    </row>
    <row r="20" spans="1:20" x14ac:dyDescent="0.3">
      <c r="A20" s="29" t="s">
        <v>510</v>
      </c>
      <c r="B20" s="29" t="s">
        <v>511</v>
      </c>
      <c r="C20" s="29" t="s">
        <v>512</v>
      </c>
      <c r="D20" s="29" t="s">
        <v>434</v>
      </c>
      <c r="E20" s="29" t="s">
        <v>399</v>
      </c>
      <c r="F20" s="30">
        <v>36930</v>
      </c>
      <c r="G20" s="30">
        <v>45887</v>
      </c>
      <c r="H20" s="29" t="s">
        <v>513</v>
      </c>
      <c r="I20" s="29" t="s">
        <v>514</v>
      </c>
      <c r="J20" s="33">
        <v>6800000</v>
      </c>
      <c r="K20" s="34"/>
      <c r="L20" s="34"/>
      <c r="M20" s="34"/>
      <c r="N20" s="34"/>
      <c r="O20" s="34"/>
      <c r="P20" s="34"/>
      <c r="Q20" s="34"/>
      <c r="R20" s="34"/>
      <c r="S20" s="34"/>
      <c r="T20" s="34"/>
    </row>
    <row r="21" spans="1:20" x14ac:dyDescent="0.3">
      <c r="A21" s="29" t="s">
        <v>515</v>
      </c>
      <c r="B21" s="29" t="s">
        <v>516</v>
      </c>
      <c r="C21" s="29" t="s">
        <v>517</v>
      </c>
      <c r="D21" s="29" t="s">
        <v>518</v>
      </c>
      <c r="E21" s="29" t="s">
        <v>421</v>
      </c>
      <c r="F21" s="30">
        <v>30941</v>
      </c>
      <c r="G21" s="30">
        <v>41246</v>
      </c>
      <c r="H21" s="29" t="s">
        <v>519</v>
      </c>
      <c r="I21" s="29" t="s">
        <v>520</v>
      </c>
      <c r="J21" s="33">
        <v>25000000</v>
      </c>
      <c r="K21" s="34"/>
      <c r="L21" s="34"/>
      <c r="M21" s="34"/>
      <c r="N21" s="34"/>
      <c r="O21" s="34"/>
      <c r="P21" s="34"/>
      <c r="Q21" s="34"/>
      <c r="R21" s="34"/>
      <c r="S21" s="34"/>
      <c r="T21" s="34"/>
    </row>
  </sheetData>
  <autoFilter ref="A1:T21" xr:uid="{00000000-0009-0000-0000-000005000000}"/>
  <pageMargins left="0.75" right="0.75" top="1" bottom="1" header="0.511811023622047" footer="0.511811023622047"/>
  <pageSetup fitToHeight="0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ED7D31"/>
    <pageSetUpPr fitToPage="1"/>
  </sheetPr>
  <dimension ref="A1:G52"/>
  <sheetViews>
    <sheetView zoomScaleNormal="100" workbookViewId="0">
      <pane ySplit="4" topLeftCell="A5" activePane="bottomLeft" state="frozen"/>
      <selection pane="bottomLeft" activeCell="I8" sqref="I8"/>
    </sheetView>
  </sheetViews>
  <sheetFormatPr defaultColWidth="8.6640625" defaultRowHeight="14.4" x14ac:dyDescent="0.3"/>
  <cols>
    <col min="1" max="1" width="5" customWidth="1"/>
    <col min="2" max="2" width="20" customWidth="1"/>
    <col min="3" max="3" width="9" customWidth="1"/>
    <col min="4" max="4" width="58" customWidth="1"/>
    <col min="5" max="5" width="30" customWidth="1"/>
    <col min="6" max="6" width="50" customWidth="1"/>
    <col min="7" max="7" width="30" style="53" customWidth="1"/>
  </cols>
  <sheetData>
    <row r="1" spans="1:7" ht="17.399999999999999" x14ac:dyDescent="0.3">
      <c r="A1" s="18" t="s">
        <v>521</v>
      </c>
    </row>
    <row r="2" spans="1:7" x14ac:dyDescent="0.3">
      <c r="A2" s="19" t="s">
        <v>522</v>
      </c>
    </row>
    <row r="4" spans="1:7" x14ac:dyDescent="0.3">
      <c r="A4" s="13" t="s">
        <v>96</v>
      </c>
      <c r="B4" s="13" t="s">
        <v>523</v>
      </c>
      <c r="C4" s="13" t="s">
        <v>98</v>
      </c>
      <c r="D4" s="13" t="s">
        <v>524</v>
      </c>
      <c r="E4" s="13" t="s">
        <v>525</v>
      </c>
      <c r="F4" s="13" t="s">
        <v>526</v>
      </c>
      <c r="G4" s="13" t="s">
        <v>527</v>
      </c>
    </row>
    <row r="5" spans="1:7" ht="30" customHeight="1" x14ac:dyDescent="0.3">
      <c r="A5" s="39">
        <v>1</v>
      </c>
      <c r="B5" s="10" t="s">
        <v>105</v>
      </c>
      <c r="C5" s="20" t="s">
        <v>528</v>
      </c>
      <c r="D5" s="9" t="s">
        <v>529</v>
      </c>
      <c r="E5" s="9" t="s">
        <v>530</v>
      </c>
      <c r="F5" s="40" t="s">
        <v>531</v>
      </c>
      <c r="G5" s="54">
        <f>SUM(Data_Penjualan!M2:M61)</f>
        <v>434588750</v>
      </c>
    </row>
    <row r="6" spans="1:7" ht="30" customHeight="1" x14ac:dyDescent="0.3">
      <c r="A6" s="39">
        <v>2</v>
      </c>
      <c r="B6" s="10" t="s">
        <v>105</v>
      </c>
      <c r="C6" s="25" t="s">
        <v>532</v>
      </c>
      <c r="D6" s="9" t="s">
        <v>533</v>
      </c>
      <c r="E6" s="9" t="s">
        <v>534</v>
      </c>
      <c r="F6" s="40" t="s">
        <v>535</v>
      </c>
      <c r="G6" s="55">
        <f>SUMIF(Data_Penjualan!F2:F61,"Elektronik",Data_Penjualan!H2:H61)</f>
        <v>100</v>
      </c>
    </row>
    <row r="7" spans="1:7" ht="30" customHeight="1" x14ac:dyDescent="0.3">
      <c r="A7" s="39">
        <v>3</v>
      </c>
      <c r="B7" s="10" t="s">
        <v>105</v>
      </c>
      <c r="C7" s="26" t="s">
        <v>536</v>
      </c>
      <c r="D7" s="9" t="s">
        <v>537</v>
      </c>
      <c r="E7" s="9" t="s">
        <v>538</v>
      </c>
      <c r="F7" s="40" t="s">
        <v>539</v>
      </c>
      <c r="G7" s="54">
        <f>SUMIFS(Data_Penjualan!M2:M61,Data_Penjualan!G2:G61,"Jakarta",Data_Penjualan!K2:K61,"Lunas")</f>
        <v>31398000</v>
      </c>
    </row>
    <row r="8" spans="1:7" ht="30" customHeight="1" x14ac:dyDescent="0.3">
      <c r="A8" s="39">
        <v>4</v>
      </c>
      <c r="B8" s="10" t="s">
        <v>118</v>
      </c>
      <c r="C8" s="20" t="s">
        <v>528</v>
      </c>
      <c r="D8" s="9" t="s">
        <v>540</v>
      </c>
      <c r="E8" s="9" t="s">
        <v>530</v>
      </c>
      <c r="F8" s="40" t="s">
        <v>541</v>
      </c>
      <c r="G8" s="54"/>
    </row>
    <row r="9" spans="1:7" ht="30" customHeight="1" x14ac:dyDescent="0.3">
      <c r="A9" s="39">
        <v>5</v>
      </c>
      <c r="B9" s="10" t="s">
        <v>118</v>
      </c>
      <c r="C9" s="25" t="s">
        <v>532</v>
      </c>
      <c r="D9" s="9" t="s">
        <v>542</v>
      </c>
      <c r="E9" s="9" t="s">
        <v>534</v>
      </c>
      <c r="F9" s="40" t="s">
        <v>543</v>
      </c>
      <c r="G9" s="54"/>
    </row>
    <row r="10" spans="1:7" ht="30" customHeight="1" x14ac:dyDescent="0.3">
      <c r="A10" s="39">
        <v>6</v>
      </c>
      <c r="B10" s="10" t="s">
        <v>118</v>
      </c>
      <c r="C10" s="26" t="s">
        <v>536</v>
      </c>
      <c r="D10" s="9" t="s">
        <v>544</v>
      </c>
      <c r="E10" s="9" t="s">
        <v>545</v>
      </c>
      <c r="F10" s="40" t="s">
        <v>546</v>
      </c>
      <c r="G10" s="54"/>
    </row>
    <row r="11" spans="1:7" ht="30" customHeight="1" x14ac:dyDescent="0.3">
      <c r="A11" s="39">
        <v>7</v>
      </c>
      <c r="B11" s="10" t="s">
        <v>547</v>
      </c>
      <c r="C11" s="20" t="s">
        <v>528</v>
      </c>
      <c r="D11" s="9" t="s">
        <v>548</v>
      </c>
      <c r="E11" s="9" t="s">
        <v>549</v>
      </c>
      <c r="F11" s="40" t="s">
        <v>550</v>
      </c>
      <c r="G11" s="54"/>
    </row>
    <row r="12" spans="1:7" ht="30" customHeight="1" x14ac:dyDescent="0.3">
      <c r="A12" s="39">
        <v>8</v>
      </c>
      <c r="B12" s="10" t="s">
        <v>547</v>
      </c>
      <c r="C12" s="25" t="s">
        <v>532</v>
      </c>
      <c r="D12" s="9" t="s">
        <v>551</v>
      </c>
      <c r="E12" s="9" t="s">
        <v>552</v>
      </c>
      <c r="F12" s="40" t="s">
        <v>553</v>
      </c>
      <c r="G12" s="54"/>
    </row>
    <row r="13" spans="1:7" ht="30" customHeight="1" x14ac:dyDescent="0.3">
      <c r="A13" s="39">
        <v>9</v>
      </c>
      <c r="B13" s="10" t="s">
        <v>547</v>
      </c>
      <c r="C13" s="26" t="s">
        <v>536</v>
      </c>
      <c r="D13" s="9" t="s">
        <v>554</v>
      </c>
      <c r="E13" s="9" t="s">
        <v>555</v>
      </c>
      <c r="F13" s="40" t="s">
        <v>556</v>
      </c>
      <c r="G13" s="54"/>
    </row>
    <row r="14" spans="1:7" ht="30" customHeight="1" x14ac:dyDescent="0.3">
      <c r="A14" s="39">
        <v>10</v>
      </c>
      <c r="B14" s="10" t="s">
        <v>557</v>
      </c>
      <c r="C14" s="20" t="s">
        <v>528</v>
      </c>
      <c r="D14" s="9" t="s">
        <v>558</v>
      </c>
      <c r="E14" s="9" t="s">
        <v>530</v>
      </c>
      <c r="F14" s="40" t="s">
        <v>559</v>
      </c>
      <c r="G14" s="54"/>
    </row>
    <row r="15" spans="1:7" ht="30" customHeight="1" x14ac:dyDescent="0.3">
      <c r="A15" s="39">
        <v>11</v>
      </c>
      <c r="B15" s="10" t="s">
        <v>557</v>
      </c>
      <c r="C15" s="20" t="s">
        <v>528</v>
      </c>
      <c r="D15" s="9" t="s">
        <v>560</v>
      </c>
      <c r="E15" s="9" t="s">
        <v>561</v>
      </c>
      <c r="F15" s="40" t="s">
        <v>562</v>
      </c>
      <c r="G15" s="54"/>
    </row>
    <row r="16" spans="1:7" ht="30" customHeight="1" x14ac:dyDescent="0.3">
      <c r="A16" s="39">
        <v>12</v>
      </c>
      <c r="B16" s="10" t="s">
        <v>557</v>
      </c>
      <c r="C16" s="25" t="s">
        <v>532</v>
      </c>
      <c r="D16" s="9" t="s">
        <v>563</v>
      </c>
      <c r="E16" s="9" t="s">
        <v>530</v>
      </c>
      <c r="F16" s="40" t="s">
        <v>564</v>
      </c>
      <c r="G16" s="54"/>
    </row>
    <row r="17" spans="1:7" ht="30" customHeight="1" x14ac:dyDescent="0.3">
      <c r="A17" s="39">
        <v>13</v>
      </c>
      <c r="B17" s="10" t="s">
        <v>557</v>
      </c>
      <c r="C17" s="26" t="s">
        <v>536</v>
      </c>
      <c r="D17" s="9" t="s">
        <v>565</v>
      </c>
      <c r="E17" s="9" t="s">
        <v>566</v>
      </c>
      <c r="F17" s="40" t="s">
        <v>567</v>
      </c>
      <c r="G17" s="54"/>
    </row>
    <row r="18" spans="1:7" ht="30" customHeight="1" x14ac:dyDescent="0.3">
      <c r="A18" s="39">
        <v>14</v>
      </c>
      <c r="B18" s="10" t="s">
        <v>148</v>
      </c>
      <c r="C18" s="20" t="s">
        <v>528</v>
      </c>
      <c r="D18" s="9" t="s">
        <v>568</v>
      </c>
      <c r="E18" s="9" t="s">
        <v>569</v>
      </c>
      <c r="F18" s="40" t="s">
        <v>570</v>
      </c>
      <c r="G18" s="54"/>
    </row>
    <row r="19" spans="1:7" ht="30" customHeight="1" x14ac:dyDescent="0.3">
      <c r="A19" s="39">
        <v>15</v>
      </c>
      <c r="B19" s="10" t="s">
        <v>148</v>
      </c>
      <c r="C19" s="25" t="s">
        <v>532</v>
      </c>
      <c r="D19" s="9" t="s">
        <v>571</v>
      </c>
      <c r="E19" s="9" t="s">
        <v>572</v>
      </c>
      <c r="F19" s="40" t="s">
        <v>573</v>
      </c>
      <c r="G19" s="54"/>
    </row>
    <row r="20" spans="1:7" ht="42.75" customHeight="1" x14ac:dyDescent="0.3">
      <c r="A20" s="39">
        <v>16</v>
      </c>
      <c r="B20" s="10" t="s">
        <v>148</v>
      </c>
      <c r="C20" s="26" t="s">
        <v>536</v>
      </c>
      <c r="D20" s="9" t="s">
        <v>574</v>
      </c>
      <c r="E20" s="9" t="s">
        <v>572</v>
      </c>
      <c r="F20" s="40" t="s">
        <v>575</v>
      </c>
      <c r="G20" s="54"/>
    </row>
    <row r="21" spans="1:7" ht="30" customHeight="1" x14ac:dyDescent="0.3">
      <c r="A21" s="39">
        <v>17</v>
      </c>
      <c r="B21" s="10" t="s">
        <v>576</v>
      </c>
      <c r="C21" s="20" t="s">
        <v>528</v>
      </c>
      <c r="D21" s="9" t="s">
        <v>577</v>
      </c>
      <c r="E21" s="9" t="s">
        <v>578</v>
      </c>
      <c r="F21" s="40" t="s">
        <v>579</v>
      </c>
      <c r="G21" s="54"/>
    </row>
    <row r="22" spans="1:7" ht="30" customHeight="1" x14ac:dyDescent="0.3">
      <c r="A22" s="39">
        <v>18</v>
      </c>
      <c r="B22" s="10" t="s">
        <v>576</v>
      </c>
      <c r="C22" s="25" t="s">
        <v>532</v>
      </c>
      <c r="D22" s="9" t="s">
        <v>580</v>
      </c>
      <c r="E22" s="9" t="s">
        <v>581</v>
      </c>
      <c r="F22" s="40" t="s">
        <v>582</v>
      </c>
      <c r="G22" s="54"/>
    </row>
    <row r="23" spans="1:7" ht="30" customHeight="1" x14ac:dyDescent="0.3">
      <c r="A23" s="39">
        <v>19</v>
      </c>
      <c r="B23" s="10" t="s">
        <v>576</v>
      </c>
      <c r="C23" s="25" t="s">
        <v>532</v>
      </c>
      <c r="D23" s="9" t="s">
        <v>583</v>
      </c>
      <c r="E23" s="9" t="s">
        <v>584</v>
      </c>
      <c r="F23" s="40" t="s">
        <v>585</v>
      </c>
      <c r="G23" s="54"/>
    </row>
    <row r="24" spans="1:7" ht="30" customHeight="1" x14ac:dyDescent="0.3">
      <c r="A24" s="39">
        <v>20</v>
      </c>
      <c r="B24" s="10" t="s">
        <v>170</v>
      </c>
      <c r="C24" s="20" t="s">
        <v>528</v>
      </c>
      <c r="D24" s="9" t="s">
        <v>586</v>
      </c>
      <c r="E24" s="9" t="s">
        <v>587</v>
      </c>
      <c r="F24" s="40" t="s">
        <v>588</v>
      </c>
      <c r="G24" s="54"/>
    </row>
    <row r="25" spans="1:7" ht="30" customHeight="1" x14ac:dyDescent="0.3">
      <c r="A25" s="39">
        <v>21</v>
      </c>
      <c r="B25" s="10" t="s">
        <v>170</v>
      </c>
      <c r="C25" s="25" t="s">
        <v>532</v>
      </c>
      <c r="D25" s="9" t="s">
        <v>589</v>
      </c>
      <c r="E25" s="9" t="s">
        <v>590</v>
      </c>
      <c r="F25" s="40" t="s">
        <v>591</v>
      </c>
      <c r="G25" s="54"/>
    </row>
    <row r="26" spans="1:7" ht="42.75" customHeight="1" x14ac:dyDescent="0.3">
      <c r="A26" s="39">
        <v>22</v>
      </c>
      <c r="B26" s="10" t="s">
        <v>170</v>
      </c>
      <c r="C26" s="25" t="s">
        <v>532</v>
      </c>
      <c r="D26" s="9" t="s">
        <v>592</v>
      </c>
      <c r="E26" s="9" t="s">
        <v>593</v>
      </c>
      <c r="F26" s="40" t="s">
        <v>594</v>
      </c>
      <c r="G26" s="54"/>
    </row>
    <row r="27" spans="1:7" ht="30" customHeight="1" x14ac:dyDescent="0.3">
      <c r="A27" s="39">
        <v>23</v>
      </c>
      <c r="B27" s="10" t="s">
        <v>595</v>
      </c>
      <c r="C27" s="20" t="s">
        <v>528</v>
      </c>
      <c r="D27" s="9" t="s">
        <v>596</v>
      </c>
      <c r="E27" s="9" t="s">
        <v>597</v>
      </c>
      <c r="F27" s="40" t="s">
        <v>598</v>
      </c>
      <c r="G27" s="54"/>
    </row>
    <row r="28" spans="1:7" ht="30" customHeight="1" x14ac:dyDescent="0.3">
      <c r="A28" s="39">
        <v>24</v>
      </c>
      <c r="B28" s="10" t="s">
        <v>595</v>
      </c>
      <c r="C28" s="25" t="s">
        <v>532</v>
      </c>
      <c r="D28" s="9" t="s">
        <v>599</v>
      </c>
      <c r="E28" s="9" t="s">
        <v>600</v>
      </c>
      <c r="F28" s="40" t="s">
        <v>601</v>
      </c>
      <c r="G28" s="54"/>
    </row>
    <row r="29" spans="1:7" ht="42.75" customHeight="1" x14ac:dyDescent="0.3">
      <c r="A29" s="39">
        <v>25</v>
      </c>
      <c r="B29" s="10" t="s">
        <v>595</v>
      </c>
      <c r="C29" s="26" t="s">
        <v>536</v>
      </c>
      <c r="D29" s="9" t="s">
        <v>602</v>
      </c>
      <c r="E29" s="9" t="s">
        <v>603</v>
      </c>
      <c r="F29" s="40" t="s">
        <v>604</v>
      </c>
      <c r="G29" s="54"/>
    </row>
    <row r="30" spans="1:7" ht="30" customHeight="1" x14ac:dyDescent="0.3">
      <c r="A30" s="39">
        <v>26</v>
      </c>
      <c r="B30" s="10" t="s">
        <v>189</v>
      </c>
      <c r="C30" s="20" t="s">
        <v>528</v>
      </c>
      <c r="D30" s="9" t="s">
        <v>605</v>
      </c>
      <c r="E30" s="9" t="s">
        <v>606</v>
      </c>
      <c r="F30" s="40" t="s">
        <v>607</v>
      </c>
      <c r="G30" s="54"/>
    </row>
    <row r="31" spans="1:7" ht="30" customHeight="1" x14ac:dyDescent="0.3">
      <c r="A31" s="39">
        <v>27</v>
      </c>
      <c r="B31" s="10" t="s">
        <v>189</v>
      </c>
      <c r="C31" s="25" t="s">
        <v>532</v>
      </c>
      <c r="D31" s="9" t="s">
        <v>608</v>
      </c>
      <c r="E31" s="9" t="s">
        <v>606</v>
      </c>
      <c r="F31" s="40" t="s">
        <v>609</v>
      </c>
      <c r="G31" s="54"/>
    </row>
    <row r="32" spans="1:7" ht="42.75" customHeight="1" x14ac:dyDescent="0.3">
      <c r="A32" s="39">
        <v>28</v>
      </c>
      <c r="B32" s="10" t="s">
        <v>189</v>
      </c>
      <c r="C32" s="26" t="s">
        <v>536</v>
      </c>
      <c r="D32" s="9" t="s">
        <v>610</v>
      </c>
      <c r="E32" s="9" t="s">
        <v>611</v>
      </c>
      <c r="F32" s="40" t="s">
        <v>612</v>
      </c>
      <c r="G32" s="54"/>
    </row>
    <row r="33" spans="1:7" ht="30" customHeight="1" x14ac:dyDescent="0.3">
      <c r="A33" s="39">
        <v>29</v>
      </c>
      <c r="B33" s="10" t="s">
        <v>189</v>
      </c>
      <c r="C33" s="25" t="s">
        <v>532</v>
      </c>
      <c r="D33" s="9" t="s">
        <v>613</v>
      </c>
      <c r="E33" s="9" t="s">
        <v>530</v>
      </c>
      <c r="F33" s="40" t="s">
        <v>614</v>
      </c>
      <c r="G33" s="54"/>
    </row>
    <row r="34" spans="1:7" ht="30" customHeight="1" x14ac:dyDescent="0.3">
      <c r="A34" s="39">
        <v>30</v>
      </c>
      <c r="B34" s="10" t="s">
        <v>202</v>
      </c>
      <c r="C34" s="20" t="s">
        <v>528</v>
      </c>
      <c r="D34" s="9" t="s">
        <v>615</v>
      </c>
      <c r="E34" s="9" t="s">
        <v>616</v>
      </c>
      <c r="F34" s="40" t="s">
        <v>617</v>
      </c>
      <c r="G34" s="54"/>
    </row>
    <row r="35" spans="1:7" ht="30" customHeight="1" x14ac:dyDescent="0.3">
      <c r="A35" s="39">
        <v>31</v>
      </c>
      <c r="B35" s="10" t="s">
        <v>202</v>
      </c>
      <c r="C35" s="25" t="s">
        <v>532</v>
      </c>
      <c r="D35" s="9" t="s">
        <v>618</v>
      </c>
      <c r="E35" s="9" t="s">
        <v>619</v>
      </c>
      <c r="F35" s="40" t="s">
        <v>620</v>
      </c>
      <c r="G35" s="54"/>
    </row>
    <row r="36" spans="1:7" ht="42.75" customHeight="1" x14ac:dyDescent="0.3">
      <c r="A36" s="39">
        <v>32</v>
      </c>
      <c r="B36" s="10" t="s">
        <v>202</v>
      </c>
      <c r="C36" s="25" t="s">
        <v>532</v>
      </c>
      <c r="D36" s="9" t="s">
        <v>621</v>
      </c>
      <c r="E36" s="9" t="s">
        <v>622</v>
      </c>
      <c r="F36" s="40" t="s">
        <v>623</v>
      </c>
      <c r="G36" s="54"/>
    </row>
    <row r="37" spans="1:7" ht="30" customHeight="1" x14ac:dyDescent="0.3">
      <c r="A37" s="39">
        <v>33</v>
      </c>
      <c r="B37" s="10" t="s">
        <v>202</v>
      </c>
      <c r="C37" s="25" t="s">
        <v>532</v>
      </c>
      <c r="D37" s="9" t="s">
        <v>624</v>
      </c>
      <c r="E37" s="9" t="s">
        <v>625</v>
      </c>
      <c r="F37" s="40" t="s">
        <v>626</v>
      </c>
      <c r="G37" s="54"/>
    </row>
    <row r="38" spans="1:7" ht="42.75" customHeight="1" x14ac:dyDescent="0.3">
      <c r="A38" s="39">
        <v>34</v>
      </c>
      <c r="B38" s="10" t="s">
        <v>202</v>
      </c>
      <c r="C38" s="26" t="s">
        <v>536</v>
      </c>
      <c r="D38" s="9" t="s">
        <v>627</v>
      </c>
      <c r="E38" s="9" t="s">
        <v>628</v>
      </c>
      <c r="F38" s="40" t="s">
        <v>629</v>
      </c>
      <c r="G38" s="54"/>
    </row>
    <row r="39" spans="1:7" ht="30" customHeight="1" x14ac:dyDescent="0.3">
      <c r="A39" s="39">
        <v>35</v>
      </c>
      <c r="B39" s="10" t="s">
        <v>14</v>
      </c>
      <c r="C39" s="20" t="s">
        <v>528</v>
      </c>
      <c r="D39" s="9" t="s">
        <v>630</v>
      </c>
      <c r="E39" s="9" t="s">
        <v>631</v>
      </c>
      <c r="F39" s="40" t="s">
        <v>632</v>
      </c>
      <c r="G39" s="54"/>
    </row>
    <row r="40" spans="1:7" ht="30" customHeight="1" x14ac:dyDescent="0.3">
      <c r="A40" s="39">
        <v>36</v>
      </c>
      <c r="B40" s="10" t="s">
        <v>14</v>
      </c>
      <c r="C40" s="25" t="s">
        <v>532</v>
      </c>
      <c r="D40" s="9" t="s">
        <v>633</v>
      </c>
      <c r="E40" s="9" t="s">
        <v>634</v>
      </c>
      <c r="F40" s="40" t="s">
        <v>635</v>
      </c>
      <c r="G40" s="54"/>
    </row>
    <row r="41" spans="1:7" ht="30" customHeight="1" x14ac:dyDescent="0.3">
      <c r="A41" s="39">
        <v>37</v>
      </c>
      <c r="B41" s="10" t="s">
        <v>14</v>
      </c>
      <c r="C41" s="25" t="s">
        <v>532</v>
      </c>
      <c r="D41" s="9" t="s">
        <v>636</v>
      </c>
      <c r="E41" s="9" t="s">
        <v>637</v>
      </c>
      <c r="F41" s="40" t="s">
        <v>638</v>
      </c>
      <c r="G41" s="54"/>
    </row>
    <row r="42" spans="1:7" ht="30" customHeight="1" x14ac:dyDescent="0.3">
      <c r="A42" s="39">
        <v>38</v>
      </c>
      <c r="B42" s="10" t="s">
        <v>14</v>
      </c>
      <c r="C42" s="25" t="s">
        <v>532</v>
      </c>
      <c r="D42" s="9" t="s">
        <v>639</v>
      </c>
      <c r="E42" s="9" t="s">
        <v>12</v>
      </c>
      <c r="F42" s="40" t="s">
        <v>640</v>
      </c>
      <c r="G42" s="54"/>
    </row>
    <row r="43" spans="1:7" ht="30" customHeight="1" x14ac:dyDescent="0.3">
      <c r="A43" s="39">
        <v>39</v>
      </c>
      <c r="B43" s="10" t="s">
        <v>17</v>
      </c>
      <c r="C43" s="20" t="s">
        <v>528</v>
      </c>
      <c r="D43" s="9" t="s">
        <v>641</v>
      </c>
      <c r="E43" s="9" t="s">
        <v>15</v>
      </c>
      <c r="F43" s="40" t="s">
        <v>642</v>
      </c>
      <c r="G43" s="54"/>
    </row>
    <row r="44" spans="1:7" ht="30" customHeight="1" x14ac:dyDescent="0.3">
      <c r="A44" s="39">
        <v>40</v>
      </c>
      <c r="B44" s="10" t="s">
        <v>17</v>
      </c>
      <c r="C44" s="25" t="s">
        <v>532</v>
      </c>
      <c r="D44" s="9" t="s">
        <v>643</v>
      </c>
      <c r="E44" s="9" t="s">
        <v>644</v>
      </c>
      <c r="F44" s="40" t="s">
        <v>645</v>
      </c>
      <c r="G44" s="54"/>
    </row>
    <row r="45" spans="1:7" ht="30" customHeight="1" x14ac:dyDescent="0.3">
      <c r="A45" s="39">
        <v>41</v>
      </c>
      <c r="B45" s="10" t="s">
        <v>17</v>
      </c>
      <c r="C45" s="26" t="s">
        <v>536</v>
      </c>
      <c r="D45" s="9" t="s">
        <v>646</v>
      </c>
      <c r="E45" s="9" t="s">
        <v>647</v>
      </c>
      <c r="F45" s="40" t="s">
        <v>648</v>
      </c>
      <c r="G45" s="54"/>
    </row>
    <row r="46" spans="1:7" ht="30" customHeight="1" x14ac:dyDescent="0.3">
      <c r="A46" s="39">
        <v>42</v>
      </c>
      <c r="B46" s="10" t="s">
        <v>64</v>
      </c>
      <c r="C46" s="20" t="s">
        <v>528</v>
      </c>
      <c r="D46" s="9" t="s">
        <v>649</v>
      </c>
      <c r="E46" s="9" t="s">
        <v>650</v>
      </c>
      <c r="F46" s="40" t="s">
        <v>651</v>
      </c>
      <c r="G46" s="54"/>
    </row>
    <row r="47" spans="1:7" ht="42.75" customHeight="1" x14ac:dyDescent="0.3">
      <c r="A47" s="39">
        <v>43</v>
      </c>
      <c r="B47" s="10" t="s">
        <v>64</v>
      </c>
      <c r="C47" s="25" t="s">
        <v>532</v>
      </c>
      <c r="D47" s="9" t="s">
        <v>652</v>
      </c>
      <c r="E47" s="9" t="s">
        <v>653</v>
      </c>
      <c r="F47" s="40" t="s">
        <v>654</v>
      </c>
      <c r="G47" s="54"/>
    </row>
    <row r="48" spans="1:7" ht="42.75" customHeight="1" x14ac:dyDescent="0.3">
      <c r="A48" s="39">
        <v>44</v>
      </c>
      <c r="B48" s="10" t="s">
        <v>64</v>
      </c>
      <c r="C48" s="26" t="s">
        <v>536</v>
      </c>
      <c r="D48" s="9" t="s">
        <v>655</v>
      </c>
      <c r="E48" s="9" t="s">
        <v>656</v>
      </c>
      <c r="F48" s="40" t="s">
        <v>657</v>
      </c>
      <c r="G48" s="54"/>
    </row>
    <row r="49" spans="1:7" ht="42.75" customHeight="1" x14ac:dyDescent="0.3">
      <c r="A49" s="39">
        <v>45</v>
      </c>
      <c r="B49" s="10" t="s">
        <v>69</v>
      </c>
      <c r="C49" s="20" t="s">
        <v>528</v>
      </c>
      <c r="D49" s="9" t="s">
        <v>658</v>
      </c>
      <c r="E49" s="9" t="s">
        <v>659</v>
      </c>
      <c r="F49" s="40" t="s">
        <v>660</v>
      </c>
      <c r="G49" s="54"/>
    </row>
    <row r="50" spans="1:7" ht="42.75" customHeight="1" x14ac:dyDescent="0.3">
      <c r="A50" s="39">
        <v>46</v>
      </c>
      <c r="B50" s="10" t="s">
        <v>69</v>
      </c>
      <c r="C50" s="25" t="s">
        <v>532</v>
      </c>
      <c r="D50" s="9" t="s">
        <v>661</v>
      </c>
      <c r="E50" s="9" t="s">
        <v>659</v>
      </c>
      <c r="F50" s="40" t="s">
        <v>662</v>
      </c>
      <c r="G50" s="54"/>
    </row>
    <row r="51" spans="1:7" ht="42.75" customHeight="1" x14ac:dyDescent="0.3">
      <c r="A51" s="39">
        <v>47</v>
      </c>
      <c r="B51" s="10" t="s">
        <v>69</v>
      </c>
      <c r="C51" s="25" t="s">
        <v>532</v>
      </c>
      <c r="D51" s="9" t="s">
        <v>663</v>
      </c>
      <c r="E51" s="9" t="s">
        <v>659</v>
      </c>
      <c r="F51" s="40" t="s">
        <v>664</v>
      </c>
      <c r="G51" s="54"/>
    </row>
    <row r="52" spans="1:7" ht="42.75" customHeight="1" x14ac:dyDescent="0.3">
      <c r="A52" s="39">
        <v>48</v>
      </c>
      <c r="B52" s="10" t="s">
        <v>69</v>
      </c>
      <c r="C52" s="26" t="s">
        <v>536</v>
      </c>
      <c r="D52" s="9" t="s">
        <v>665</v>
      </c>
      <c r="E52" s="9" t="s">
        <v>659</v>
      </c>
      <c r="F52" s="40" t="s">
        <v>666</v>
      </c>
      <c r="G52" s="54"/>
    </row>
  </sheetData>
  <pageMargins left="0.75" right="0.75" top="1" bottom="1" header="0.511811023622047" footer="0.511811023622047"/>
  <pageSetup fitToHeight="0"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00000"/>
    <pageSetUpPr fitToPage="1"/>
  </sheetPr>
  <dimension ref="A1:F52"/>
  <sheetViews>
    <sheetView zoomScaleNormal="100" workbookViewId="0">
      <pane ySplit="4" topLeftCell="A5" activePane="bottomLeft" state="frozen"/>
      <selection pane="bottomLeft" activeCell="D6" sqref="D6"/>
    </sheetView>
  </sheetViews>
  <sheetFormatPr defaultColWidth="8.6640625" defaultRowHeight="14.4" x14ac:dyDescent="0.3"/>
  <cols>
    <col min="1" max="1" width="5" customWidth="1"/>
    <col min="2" max="2" width="20" customWidth="1"/>
    <col min="3" max="3" width="9" customWidth="1"/>
    <col min="4" max="4" width="66" customWidth="1"/>
    <col min="5" max="5" width="24" customWidth="1"/>
    <col min="6" max="6" width="62" customWidth="1"/>
  </cols>
  <sheetData>
    <row r="1" spans="1:6" ht="17.399999999999999" x14ac:dyDescent="0.3">
      <c r="A1" s="18" t="s">
        <v>667</v>
      </c>
    </row>
    <row r="2" spans="1:6" x14ac:dyDescent="0.3">
      <c r="A2" s="19" t="s">
        <v>668</v>
      </c>
    </row>
    <row r="4" spans="1:6" x14ac:dyDescent="0.3">
      <c r="A4" s="17" t="s">
        <v>96</v>
      </c>
      <c r="B4" s="17" t="s">
        <v>523</v>
      </c>
      <c r="C4" s="17" t="s">
        <v>98</v>
      </c>
      <c r="D4" s="17" t="s">
        <v>669</v>
      </c>
      <c r="E4" s="17" t="s">
        <v>670</v>
      </c>
      <c r="F4" s="17" t="s">
        <v>671</v>
      </c>
    </row>
    <row r="5" spans="1:6" ht="30" customHeight="1" x14ac:dyDescent="0.3">
      <c r="A5" s="39">
        <v>1</v>
      </c>
      <c r="B5" s="10" t="s">
        <v>105</v>
      </c>
      <c r="C5" s="20" t="s">
        <v>528</v>
      </c>
      <c r="D5" s="9" t="s">
        <v>672</v>
      </c>
      <c r="E5" s="41">
        <f>SUM(Data_Penjualan!$M$2:$M$61)</f>
        <v>434588750</v>
      </c>
      <c r="F5" s="9" t="s">
        <v>673</v>
      </c>
    </row>
    <row r="6" spans="1:6" ht="30" customHeight="1" x14ac:dyDescent="0.3">
      <c r="A6" s="39">
        <v>2</v>
      </c>
      <c r="B6" s="10" t="s">
        <v>105</v>
      </c>
      <c r="C6" s="25" t="s">
        <v>532</v>
      </c>
      <c r="D6" s="9" t="s">
        <v>674</v>
      </c>
      <c r="E6" s="42">
        <f>SUMIF(Data_Penjualan!$F$2:$F$61,"Elektronik",Data_Penjualan!$H$2:$H$61)</f>
        <v>100</v>
      </c>
      <c r="F6" s="9" t="s">
        <v>675</v>
      </c>
    </row>
    <row r="7" spans="1:6" ht="30" customHeight="1" x14ac:dyDescent="0.3">
      <c r="A7" s="39">
        <v>3</v>
      </c>
      <c r="B7" s="10" t="s">
        <v>105</v>
      </c>
      <c r="C7" s="26" t="s">
        <v>536</v>
      </c>
      <c r="D7" s="9" t="s">
        <v>676</v>
      </c>
      <c r="E7" s="41">
        <f>SUMIFS(Data_Penjualan!$M$2:$M$61,Data_Penjualan!$G$2:$G$61,"Jakarta",Data_Penjualan!$K$2:$K$61,"Lunas")</f>
        <v>31398000</v>
      </c>
      <c r="F7" s="9" t="s">
        <v>677</v>
      </c>
    </row>
    <row r="8" spans="1:6" ht="30" customHeight="1" x14ac:dyDescent="0.3">
      <c r="A8" s="39">
        <v>4</v>
      </c>
      <c r="B8" s="10" t="s">
        <v>118</v>
      </c>
      <c r="C8" s="20" t="s">
        <v>528</v>
      </c>
      <c r="D8" s="9" t="s">
        <v>678</v>
      </c>
      <c r="E8" s="41">
        <f>AVERAGE(Data_Penjualan!$M$2:$M$61)</f>
        <v>7243145.833333333</v>
      </c>
      <c r="F8" s="9" t="s">
        <v>679</v>
      </c>
    </row>
    <row r="9" spans="1:6" ht="30" customHeight="1" x14ac:dyDescent="0.3">
      <c r="A9" s="39">
        <v>5</v>
      </c>
      <c r="B9" s="10" t="s">
        <v>118</v>
      </c>
      <c r="C9" s="25" t="s">
        <v>532</v>
      </c>
      <c r="D9" s="9" t="s">
        <v>680</v>
      </c>
      <c r="E9" s="43">
        <f>AVERAGEIF(Data_Penjualan!$F$2:$F$61,"Aksesoris",Data_Penjualan!$H$2:$H$61)</f>
        <v>9.7272727272727266</v>
      </c>
      <c r="F9" s="9" t="s">
        <v>681</v>
      </c>
    </row>
    <row r="10" spans="1:6" ht="30" customHeight="1" x14ac:dyDescent="0.3">
      <c r="A10" s="39">
        <v>6</v>
      </c>
      <c r="B10" s="10" t="s">
        <v>118</v>
      </c>
      <c r="C10" s="26" t="s">
        <v>536</v>
      </c>
      <c r="D10" s="9" t="s">
        <v>682</v>
      </c>
      <c r="E10" s="41">
        <f>AVERAGEIFS(Data_Penjualan!$M$2:$M$61,Data_Penjualan!$L$2:$L$61,"Siti Rahmawati",Data_Penjualan!$K$2:$K$61,"Lunas")</f>
        <v>11545454.545454545</v>
      </c>
      <c r="F10" s="9" t="s">
        <v>683</v>
      </c>
    </row>
    <row r="11" spans="1:6" ht="30" customHeight="1" x14ac:dyDescent="0.3">
      <c r="A11" s="39">
        <v>7</v>
      </c>
      <c r="B11" s="10" t="s">
        <v>547</v>
      </c>
      <c r="C11" s="20" t="s">
        <v>528</v>
      </c>
      <c r="D11" s="9" t="s">
        <v>684</v>
      </c>
      <c r="E11" s="42">
        <f>COUNT(Data_Penjualan!$C$2:$C$61)</f>
        <v>56</v>
      </c>
      <c r="F11" s="9" t="s">
        <v>685</v>
      </c>
    </row>
    <row r="12" spans="1:6" ht="30" customHeight="1" x14ac:dyDescent="0.3">
      <c r="A12" s="39">
        <v>8</v>
      </c>
      <c r="B12" s="10" t="s">
        <v>547</v>
      </c>
      <c r="C12" s="25" t="s">
        <v>532</v>
      </c>
      <c r="D12" s="9" t="s">
        <v>686</v>
      </c>
      <c r="E12" s="42">
        <f>COUNTBLANK(Data_Penjualan!$C$2:$C$61)</f>
        <v>4</v>
      </c>
      <c r="F12" s="9" t="s">
        <v>687</v>
      </c>
    </row>
    <row r="13" spans="1:6" ht="30" customHeight="1" x14ac:dyDescent="0.3">
      <c r="A13" s="39">
        <v>9</v>
      </c>
      <c r="B13" s="10" t="s">
        <v>547</v>
      </c>
      <c r="C13" s="26" t="s">
        <v>536</v>
      </c>
      <c r="D13" s="9" t="s">
        <v>688</v>
      </c>
      <c r="E13" s="42">
        <f>COUNTIFS(Data_Penjualan!$G$2:$G$61,"Jawa Timur",Data_Penjualan!$K$2:$K$61,"Belum Lunas")</f>
        <v>3</v>
      </c>
      <c r="F13" s="9" t="s">
        <v>689</v>
      </c>
    </row>
    <row r="14" spans="1:6" ht="30" customHeight="1" x14ac:dyDescent="0.3">
      <c r="A14" s="39">
        <v>10</v>
      </c>
      <c r="B14" s="10" t="s">
        <v>557</v>
      </c>
      <c r="C14" s="20" t="s">
        <v>528</v>
      </c>
      <c r="D14" s="9" t="s">
        <v>690</v>
      </c>
      <c r="E14" s="41">
        <f>MAX(Data_Penjualan!$M$2:$M$61)</f>
        <v>25500000</v>
      </c>
      <c r="F14" s="9" t="s">
        <v>691</v>
      </c>
    </row>
    <row r="15" spans="1:6" ht="30" customHeight="1" x14ac:dyDescent="0.3">
      <c r="A15" s="39">
        <v>11</v>
      </c>
      <c r="B15" s="10" t="s">
        <v>557</v>
      </c>
      <c r="C15" s="20" t="s">
        <v>528</v>
      </c>
      <c r="D15" s="9" t="s">
        <v>692</v>
      </c>
      <c r="E15" s="44">
        <f>MIN(Data_Penjualan!$B$2:$B$61)</f>
        <v>46028</v>
      </c>
      <c r="F15" s="9" t="s">
        <v>693</v>
      </c>
    </row>
    <row r="16" spans="1:6" ht="30" customHeight="1" x14ac:dyDescent="0.3">
      <c r="A16" s="39">
        <v>12</v>
      </c>
      <c r="B16" s="10" t="s">
        <v>557</v>
      </c>
      <c r="C16" s="25" t="s">
        <v>532</v>
      </c>
      <c r="D16" s="9" t="s">
        <v>694</v>
      </c>
      <c r="E16" s="41">
        <f>MAX(Data_Penjualan!$M$2:$M$61)-MIN(Data_Penjualan!$M$2:$M$61)</f>
        <v>24716250</v>
      </c>
      <c r="F16" s="9" t="s">
        <v>695</v>
      </c>
    </row>
    <row r="17" spans="1:6" ht="30" customHeight="1" x14ac:dyDescent="0.3">
      <c r="A17" s="39">
        <v>13</v>
      </c>
      <c r="B17" s="10" t="s">
        <v>557</v>
      </c>
      <c r="C17" s="26" t="s">
        <v>536</v>
      </c>
      <c r="D17" s="9" t="s">
        <v>696</v>
      </c>
      <c r="E17" s="41">
        <f>_xlfn.MAXIFS(Data_Penjualan!$M$2:$M$61,Data_Penjualan!$F$2:$F$61,"Furniture")</f>
        <v>10500000</v>
      </c>
      <c r="F17" s="9" t="s">
        <v>697</v>
      </c>
    </row>
    <row r="18" spans="1:6" ht="30" customHeight="1" x14ac:dyDescent="0.3">
      <c r="A18" s="39">
        <v>14</v>
      </c>
      <c r="B18" s="10" t="s">
        <v>148</v>
      </c>
      <c r="C18" s="20" t="s">
        <v>528</v>
      </c>
      <c r="D18" s="9" t="s">
        <v>698</v>
      </c>
      <c r="E18" s="45" t="str">
        <f>TRIM(Data_Karyawan!B2)</f>
        <v>budi</v>
      </c>
      <c r="F18" s="9" t="s">
        <v>699</v>
      </c>
    </row>
    <row r="19" spans="1:6" ht="30" customHeight="1" x14ac:dyDescent="0.3">
      <c r="A19" s="39">
        <v>15</v>
      </c>
      <c r="B19" s="10" t="s">
        <v>148</v>
      </c>
      <c r="C19" s="25" t="s">
        <v>532</v>
      </c>
      <c r="D19" s="9" t="s">
        <v>700</v>
      </c>
      <c r="E19" s="42">
        <f>LEN(Data_Karyawan!D2)-LEN(TRIM(Data_Karyawan!D2))</f>
        <v>5</v>
      </c>
      <c r="F19" s="9" t="s">
        <v>701</v>
      </c>
    </row>
    <row r="20" spans="1:6" ht="42.75" customHeight="1" x14ac:dyDescent="0.3">
      <c r="A20" s="39">
        <v>16</v>
      </c>
      <c r="B20" s="10" t="s">
        <v>148</v>
      </c>
      <c r="C20" s="26" t="s">
        <v>536</v>
      </c>
      <c r="D20" s="9" t="s">
        <v>702</v>
      </c>
      <c r="E20" s="42">
        <f>SUMPRODUCT(--(LEN(Data_Karyawan!$D$2:$D$21)&lt;&gt;LEN(TRIM(Data_Karyawan!$D$2:$D$21))))</f>
        <v>12</v>
      </c>
      <c r="F20" s="9" t="s">
        <v>703</v>
      </c>
    </row>
    <row r="21" spans="1:6" ht="30" customHeight="1" x14ac:dyDescent="0.3">
      <c r="A21" s="39">
        <v>17</v>
      </c>
      <c r="B21" s="10" t="s">
        <v>576</v>
      </c>
      <c r="C21" s="20" t="s">
        <v>528</v>
      </c>
      <c r="D21" s="9" t="s">
        <v>158</v>
      </c>
      <c r="E21" s="45" t="str">
        <f>UPPER(Data_Karyawan!E2)</f>
        <v>SALES</v>
      </c>
      <c r="F21" s="9" t="s">
        <v>704</v>
      </c>
    </row>
    <row r="22" spans="1:6" ht="30" customHeight="1" x14ac:dyDescent="0.3">
      <c r="A22" s="39">
        <v>18</v>
      </c>
      <c r="B22" s="10" t="s">
        <v>576</v>
      </c>
      <c r="C22" s="25" t="s">
        <v>532</v>
      </c>
      <c r="D22" s="9" t="s">
        <v>163</v>
      </c>
      <c r="E22" s="45" t="str">
        <f>LOWER(TRIM(Data_Karyawan!I2))</f>
        <v>budi.santoso@perusahaan.co.id</v>
      </c>
      <c r="F22" s="9" t="s">
        <v>705</v>
      </c>
    </row>
    <row r="23" spans="1:6" ht="30" customHeight="1" x14ac:dyDescent="0.3">
      <c r="A23" s="39">
        <v>19</v>
      </c>
      <c r="B23" s="10" t="s">
        <v>576</v>
      </c>
      <c r="C23" s="25" t="s">
        <v>532</v>
      </c>
      <c r="D23" s="9" t="s">
        <v>706</v>
      </c>
      <c r="E23" s="45" t="str">
        <f>PROPER(TRIM(Data_Karyawan!D2))</f>
        <v>Sales Executive</v>
      </c>
      <c r="F23" s="9" t="s">
        <v>707</v>
      </c>
    </row>
    <row r="24" spans="1:6" ht="30" customHeight="1" x14ac:dyDescent="0.3">
      <c r="A24" s="39">
        <v>20</v>
      </c>
      <c r="B24" s="10" t="s">
        <v>170</v>
      </c>
      <c r="C24" s="20" t="s">
        <v>528</v>
      </c>
      <c r="D24" s="9" t="s">
        <v>708</v>
      </c>
      <c r="E24" s="45" t="str">
        <f>_xlfn.CONCAT(PROPER(TRIM(Data_Karyawan!B2))," ",PROPER(TRIM(Data_Karyawan!C2)))</f>
        <v>Budi Santoso</v>
      </c>
      <c r="F24" s="9" t="s">
        <v>709</v>
      </c>
    </row>
    <row r="25" spans="1:6" ht="30" customHeight="1" x14ac:dyDescent="0.3">
      <c r="A25" s="39">
        <v>21</v>
      </c>
      <c r="B25" s="10" t="s">
        <v>170</v>
      </c>
      <c r="C25" s="25" t="s">
        <v>532</v>
      </c>
      <c r="D25" s="9" t="s">
        <v>710</v>
      </c>
      <c r="E25" s="45" t="str">
        <f>LOWER(_xlfn.CONCAT(LEFT(TRIM(Data_Karyawan!B2),1),TRIM(Data_Karyawan!C2)))</f>
        <v>bsantoso</v>
      </c>
      <c r="F25" s="9" t="s">
        <v>711</v>
      </c>
    </row>
    <row r="26" spans="1:6" ht="30" customHeight="1" x14ac:dyDescent="0.3">
      <c r="A26" s="39">
        <v>22</v>
      </c>
      <c r="B26" s="10" t="s">
        <v>170</v>
      </c>
      <c r="C26" s="25" t="s">
        <v>532</v>
      </c>
      <c r="D26" s="9" t="s">
        <v>712</v>
      </c>
      <c r="E26" s="45" t="str">
        <f>_xlfn.CONCAT(UPPER(LEFT(Data_Karyawan!E2,3)),"-",RIGHT(Data_Karyawan!A2,3))</f>
        <v>SAL-001</v>
      </c>
      <c r="F26" s="9" t="s">
        <v>713</v>
      </c>
    </row>
    <row r="27" spans="1:6" ht="30" customHeight="1" x14ac:dyDescent="0.3">
      <c r="A27" s="39">
        <v>23</v>
      </c>
      <c r="B27" s="10" t="s">
        <v>595</v>
      </c>
      <c r="C27" s="20" t="s">
        <v>528</v>
      </c>
      <c r="D27" s="9" t="s">
        <v>714</v>
      </c>
      <c r="E27" s="45" t="str">
        <f>SUBSTITUTE(Data_Karyawan!H2,"-","")</f>
        <v>081234567801</v>
      </c>
      <c r="F27" s="9" t="s">
        <v>715</v>
      </c>
    </row>
    <row r="28" spans="1:6" ht="30" customHeight="1" x14ac:dyDescent="0.3">
      <c r="A28" s="39">
        <v>24</v>
      </c>
      <c r="B28" s="10" t="s">
        <v>595</v>
      </c>
      <c r="C28" s="25" t="s">
        <v>532</v>
      </c>
      <c r="D28" s="9" t="s">
        <v>716</v>
      </c>
      <c r="E28" s="45" t="str">
        <f>REPLACE(SUBSTITUTE(Data_Karyawan!H2,"-",""),1,1,"+62")</f>
        <v>+6281234567801</v>
      </c>
      <c r="F28" s="9" t="s">
        <v>717</v>
      </c>
    </row>
    <row r="29" spans="1:6" ht="30" customHeight="1" x14ac:dyDescent="0.3">
      <c r="A29" s="39">
        <v>25</v>
      </c>
      <c r="B29" s="10" t="s">
        <v>595</v>
      </c>
      <c r="C29" s="26" t="s">
        <v>536</v>
      </c>
      <c r="D29" s="9" t="s">
        <v>718</v>
      </c>
      <c r="E29" s="45" t="str">
        <f>REPLACE(SUBSTITUTE(Data_Karyawan!H2,"-",""),5,4,"****")</f>
        <v>0812****7801</v>
      </c>
      <c r="F29" s="9" t="s">
        <v>719</v>
      </c>
    </row>
    <row r="30" spans="1:6" ht="30" customHeight="1" x14ac:dyDescent="0.3">
      <c r="A30" s="39">
        <v>26</v>
      </c>
      <c r="B30" s="10" t="s">
        <v>189</v>
      </c>
      <c r="C30" s="20" t="s">
        <v>528</v>
      </c>
      <c r="D30" s="9" t="s">
        <v>720</v>
      </c>
      <c r="E30" s="45" t="str">
        <f>IF(Data_Penjualan!M2&gt;=10000000,"Besar","Kecil")</f>
        <v>Kecil</v>
      </c>
      <c r="F30" s="9" t="s">
        <v>721</v>
      </c>
    </row>
    <row r="31" spans="1:6" ht="42.75" customHeight="1" x14ac:dyDescent="0.3">
      <c r="A31" s="39">
        <v>27</v>
      </c>
      <c r="B31" s="10" t="s">
        <v>189</v>
      </c>
      <c r="C31" s="25" t="s">
        <v>532</v>
      </c>
      <c r="D31" s="9" t="s">
        <v>722</v>
      </c>
      <c r="E31" s="45" t="str">
        <f>IF(Data_Penjualan!M2&gt;=20000000,"Besar",IF(Data_Penjualan!M2&gt;=5000000,"Sedang","Kecil"))</f>
        <v>Kecil</v>
      </c>
      <c r="F31" s="9" t="s">
        <v>723</v>
      </c>
    </row>
    <row r="32" spans="1:6" ht="30" customHeight="1" x14ac:dyDescent="0.3">
      <c r="A32" s="39">
        <v>28</v>
      </c>
      <c r="B32" s="10" t="s">
        <v>189</v>
      </c>
      <c r="C32" s="26" t="s">
        <v>536</v>
      </c>
      <c r="D32" s="9" t="s">
        <v>724</v>
      </c>
      <c r="E32" s="45" t="str">
        <f>IF(AND(Data_Penjualan!K2&lt;&gt;"Lunas",Data_Penjualan!M2&gt;=10000000),"Prioritas Tagih",IF(Data_Penjualan!K2&lt;&gt;"Lunas","Tagih Biasa","Selesai"))</f>
        <v>Tagih Biasa</v>
      </c>
      <c r="F32" s="9" t="s">
        <v>725</v>
      </c>
    </row>
    <row r="33" spans="1:6" ht="30" customHeight="1" x14ac:dyDescent="0.3">
      <c r="A33" s="39">
        <v>29</v>
      </c>
      <c r="B33" s="10" t="s">
        <v>189</v>
      </c>
      <c r="C33" s="25" t="s">
        <v>532</v>
      </c>
      <c r="D33" s="9" t="s">
        <v>726</v>
      </c>
      <c r="E33" s="42">
        <f>COUNTIF(Data_Penjualan!$M$2:$M$61,"&gt;=20000000")</f>
        <v>4</v>
      </c>
      <c r="F33" s="9" t="s">
        <v>727</v>
      </c>
    </row>
    <row r="34" spans="1:6" ht="30" customHeight="1" x14ac:dyDescent="0.3">
      <c r="A34" s="39">
        <v>30</v>
      </c>
      <c r="B34" s="10" t="s">
        <v>202</v>
      </c>
      <c r="C34" s="20" t="s">
        <v>528</v>
      </c>
      <c r="D34" s="9" t="s">
        <v>728</v>
      </c>
      <c r="E34" s="42">
        <f>DATEDIF(Data_Karyawan!F2,Data_Karyawan!$V$2,"y")</f>
        <v>34</v>
      </c>
      <c r="F34" s="9" t="s">
        <v>729</v>
      </c>
    </row>
    <row r="35" spans="1:6" ht="30" customHeight="1" x14ac:dyDescent="0.3">
      <c r="A35" s="39">
        <v>31</v>
      </c>
      <c r="B35" s="10" t="s">
        <v>202</v>
      </c>
      <c r="C35" s="25" t="s">
        <v>532</v>
      </c>
      <c r="D35" s="9" t="s">
        <v>730</v>
      </c>
      <c r="E35" s="45" t="str">
        <f>DATEDIF(Data_Karyawan!G2,Data_Karyawan!$V$2,"y")&amp;" tahun "&amp;DATEDIF(Data_Karyawan!G2,Data_Karyawan!$V$2,"ym")&amp;" bulan"</f>
        <v>7 tahun 3 bulan</v>
      </c>
      <c r="F35" s="9" t="s">
        <v>731</v>
      </c>
    </row>
    <row r="36" spans="1:6" ht="30" customHeight="1" x14ac:dyDescent="0.3">
      <c r="A36" s="39">
        <v>32</v>
      </c>
      <c r="B36" s="10" t="s">
        <v>202</v>
      </c>
      <c r="C36" s="25" t="s">
        <v>532</v>
      </c>
      <c r="D36" s="9" t="s">
        <v>732</v>
      </c>
      <c r="E36" s="42">
        <f>IF(Data_Penjualan!C2="","Belum dikirim",DATEDIF(Data_Penjualan!B2,Data_Penjualan!C2,"d"))</f>
        <v>4</v>
      </c>
      <c r="F36" s="9" t="s">
        <v>733</v>
      </c>
    </row>
    <row r="37" spans="1:6" ht="42.75" customHeight="1" x14ac:dyDescent="0.3">
      <c r="A37" s="39">
        <v>33</v>
      </c>
      <c r="B37" s="10" t="s">
        <v>202</v>
      </c>
      <c r="C37" s="25" t="s">
        <v>532</v>
      </c>
      <c r="D37" s="9" t="s">
        <v>734</v>
      </c>
      <c r="E37" s="43">
        <f>AVERAGE(Kunci_Kolom_Penjualan!$E$2:$E$61)</f>
        <v>4.0892857142857144</v>
      </c>
      <c r="F37" s="9" t="s">
        <v>735</v>
      </c>
    </row>
    <row r="38" spans="1:6" ht="30" customHeight="1" x14ac:dyDescent="0.3">
      <c r="A38" s="39">
        <v>34</v>
      </c>
      <c r="B38" s="10" t="s">
        <v>202</v>
      </c>
      <c r="C38" s="26" t="s">
        <v>536</v>
      </c>
      <c r="D38" s="9" t="s">
        <v>736</v>
      </c>
      <c r="E38" s="42">
        <f>COUNTIF(Data_Karyawan!$G$2:$G$21,"&lt;="&amp;EDATE(Data_Karyawan!$V$2,-60))</f>
        <v>14</v>
      </c>
      <c r="F38" s="9" t="s">
        <v>737</v>
      </c>
    </row>
    <row r="39" spans="1:6" ht="30" customHeight="1" x14ac:dyDescent="0.3">
      <c r="A39" s="39">
        <v>35</v>
      </c>
      <c r="B39" s="10" t="s">
        <v>14</v>
      </c>
      <c r="C39" s="20" t="s">
        <v>528</v>
      </c>
      <c r="D39" s="9" t="s">
        <v>738</v>
      </c>
      <c r="E39" s="45" t="str">
        <f>VLOOKUP(Data_Penjualan!E2,Master_Produk!$A$2:$F$11,2,FALSE())</f>
        <v>Meja Kerja Lipat</v>
      </c>
      <c r="F39" s="9" t="s">
        <v>739</v>
      </c>
    </row>
    <row r="40" spans="1:6" ht="30" customHeight="1" x14ac:dyDescent="0.3">
      <c r="A40" s="39">
        <v>36</v>
      </c>
      <c r="B40" s="10" t="s">
        <v>14</v>
      </c>
      <c r="C40" s="25" t="s">
        <v>532</v>
      </c>
      <c r="D40" s="9" t="s">
        <v>740</v>
      </c>
      <c r="E40" s="41">
        <f>VLOOKUP(Data_Penjualan!E2,Master_Produk!$A$2:$F$11,4,FALSE())</f>
        <v>600000</v>
      </c>
      <c r="F40" s="9" t="s">
        <v>741</v>
      </c>
    </row>
    <row r="41" spans="1:6" ht="30" customHeight="1" x14ac:dyDescent="0.3">
      <c r="A41" s="39">
        <v>37</v>
      </c>
      <c r="B41" s="10" t="s">
        <v>14</v>
      </c>
      <c r="C41" s="25" t="s">
        <v>532</v>
      </c>
      <c r="D41" s="9" t="s">
        <v>742</v>
      </c>
      <c r="E41" s="41">
        <f>Data_Penjualan!M2-Data_Penjualan!H2*VLOOKUP(Data_Penjualan!E2,Master_Produk!$A$2:$F$11,4,FALSE())</f>
        <v>600000</v>
      </c>
      <c r="F41" s="9" t="s">
        <v>743</v>
      </c>
    </row>
    <row r="42" spans="1:6" ht="30" customHeight="1" x14ac:dyDescent="0.3">
      <c r="A42" s="39">
        <v>38</v>
      </c>
      <c r="B42" s="10" t="s">
        <v>14</v>
      </c>
      <c r="C42" s="25" t="s">
        <v>532</v>
      </c>
      <c r="D42" s="9" t="s">
        <v>744</v>
      </c>
      <c r="E42" s="45" t="str">
        <f>IFERROR(VLOOKUP("P999",Master_Produk!$A$2:$F$11,5,FALSE()),"Tidak ditemukan")</f>
        <v>Tidak ditemukan</v>
      </c>
      <c r="F42" s="9" t="s">
        <v>745</v>
      </c>
    </row>
    <row r="43" spans="1:6" ht="30" customHeight="1" x14ac:dyDescent="0.3">
      <c r="A43" s="39">
        <v>39</v>
      </c>
      <c r="B43" s="10" t="s">
        <v>17</v>
      </c>
      <c r="C43" s="20" t="s">
        <v>528</v>
      </c>
      <c r="D43" s="9" t="s">
        <v>746</v>
      </c>
      <c r="E43" s="41">
        <f>HLOOKUP("Jawa Tengah",Target_Region!$A$1:$F$4,2,FALSE())</f>
        <v>100000000</v>
      </c>
      <c r="F43" s="9" t="s">
        <v>747</v>
      </c>
    </row>
    <row r="44" spans="1:6" ht="30" customHeight="1" x14ac:dyDescent="0.3">
      <c r="A44" s="39">
        <v>40</v>
      </c>
      <c r="B44" s="10" t="s">
        <v>17</v>
      </c>
      <c r="C44" s="25" t="s">
        <v>532</v>
      </c>
      <c r="D44" s="9" t="s">
        <v>748</v>
      </c>
      <c r="E44" s="45" t="str">
        <f>HLOOKUP(Data_Penjualan!G2,Target_Region!$A$1:$F$4,3,FALSE())</f>
        <v>Sari Utami</v>
      </c>
      <c r="F44" s="9" t="s">
        <v>749</v>
      </c>
    </row>
    <row r="45" spans="1:6" ht="30" customHeight="1" x14ac:dyDescent="0.3">
      <c r="A45" s="39">
        <v>41</v>
      </c>
      <c r="B45" s="10" t="s">
        <v>17</v>
      </c>
      <c r="C45" s="26" t="s">
        <v>536</v>
      </c>
      <c r="D45" s="9" t="s">
        <v>750</v>
      </c>
      <c r="E45" s="46">
        <f>SUMIF(Data_Penjualan!$G$2:$G$61,"Jakarta",Data_Penjualan!$M$2:$M$61)/HLOOKUP("Jakarta",Target_Region!$A$1:$F$4,2,FALSE())</f>
        <v>0.7694266666666667</v>
      </c>
      <c r="F45" s="9" t="s">
        <v>751</v>
      </c>
    </row>
    <row r="46" spans="1:6" ht="42.75" customHeight="1" x14ac:dyDescent="0.3">
      <c r="A46" s="39">
        <v>42</v>
      </c>
      <c r="B46" s="10" t="s">
        <v>64</v>
      </c>
      <c r="C46" s="20" t="s">
        <v>528</v>
      </c>
      <c r="D46" s="9" t="s">
        <v>752</v>
      </c>
      <c r="E46" s="45" t="str">
        <f>INDEX(Kunci_Pivot_Chart!$A$6:$A$9,MATCH(MAX(Kunci_Pivot_Chart!$B$6:$B$9),Kunci_Pivot_Chart!$B$6:$B$9,0))</f>
        <v>Elektronik</v>
      </c>
      <c r="F46" s="9" t="s">
        <v>753</v>
      </c>
    </row>
    <row r="47" spans="1:6" ht="42.75" customHeight="1" x14ac:dyDescent="0.3">
      <c r="A47" s="39">
        <v>43</v>
      </c>
      <c r="B47" s="10" t="s">
        <v>64</v>
      </c>
      <c r="C47" s="25" t="s">
        <v>532</v>
      </c>
      <c r="D47" s="9" t="s">
        <v>754</v>
      </c>
      <c r="E47" s="45" t="str">
        <f>INDEX(Kunci_Pivot_Chart!$A$31:$A$39,MATCH(MAX(Kunci_Pivot_Chart!$C$31:$C$39),Kunci_Pivot_Chart!$C$31:$C$39,0))</f>
        <v>Agu 2026</v>
      </c>
      <c r="F47" s="9" t="s">
        <v>755</v>
      </c>
    </row>
    <row r="48" spans="1:6" ht="42.75" customHeight="1" x14ac:dyDescent="0.3">
      <c r="A48" s="39">
        <v>44</v>
      </c>
      <c r="B48" s="10" t="s">
        <v>64</v>
      </c>
      <c r="C48" s="26" t="s">
        <v>536</v>
      </c>
      <c r="D48" s="9" t="s">
        <v>756</v>
      </c>
      <c r="E48" s="46">
        <f>Kunci_Pivot_Chart!$B$49/Kunci_Pivot_Chart!$C$49</f>
        <v>1.010671511627907</v>
      </c>
      <c r="F48" s="9" t="s">
        <v>757</v>
      </c>
    </row>
    <row r="49" spans="1:6" ht="30" customHeight="1" x14ac:dyDescent="0.3">
      <c r="A49" s="39">
        <v>45</v>
      </c>
      <c r="B49" s="10" t="s">
        <v>69</v>
      </c>
      <c r="C49" s="20" t="s">
        <v>528</v>
      </c>
      <c r="D49" s="9" t="s">
        <v>758</v>
      </c>
      <c r="E49" s="41">
        <f>Kunci_Pivot_Chart!$B$10</f>
        <v>434588750</v>
      </c>
      <c r="F49" s="9" t="s">
        <v>759</v>
      </c>
    </row>
    <row r="50" spans="1:6" ht="42.75" customHeight="1" x14ac:dyDescent="0.3">
      <c r="A50" s="39">
        <v>46</v>
      </c>
      <c r="B50" s="10" t="s">
        <v>69</v>
      </c>
      <c r="C50" s="25" t="s">
        <v>532</v>
      </c>
      <c r="D50" s="9" t="s">
        <v>760</v>
      </c>
      <c r="E50" s="41">
        <f>SUMIFS(Data_Penjualan!$M$2:$M$61,Data_Penjualan!$G$2:$G$61,"Jakarta",Data_Penjualan!$F$2:$F$61,"Elektronik")</f>
        <v>26240000</v>
      </c>
      <c r="F50" s="9" t="s">
        <v>761</v>
      </c>
    </row>
    <row r="51" spans="1:6" ht="42.75" customHeight="1" x14ac:dyDescent="0.3">
      <c r="A51" s="39">
        <v>47</v>
      </c>
      <c r="B51" s="10" t="s">
        <v>69</v>
      </c>
      <c r="C51" s="25" t="s">
        <v>532</v>
      </c>
      <c r="D51" s="9" t="s">
        <v>762</v>
      </c>
      <c r="E51" s="45" t="str">
        <f>INDEX(Kunci_Pivot_Chart!$A$23:$A$26,MATCH(MAX(Kunci_Pivot_Chart!$C$23:$C$26),Kunci_Pivot_Chart!$C$23:$C$26,0))</f>
        <v>Siti Rahmawati</v>
      </c>
      <c r="F51" s="9" t="s">
        <v>763</v>
      </c>
    </row>
    <row r="52" spans="1:6" ht="42.75" customHeight="1" x14ac:dyDescent="0.3">
      <c r="A52" s="39">
        <v>48</v>
      </c>
      <c r="B52" s="10" t="s">
        <v>69</v>
      </c>
      <c r="C52" s="26" t="s">
        <v>536</v>
      </c>
      <c r="D52" s="9" t="s">
        <v>764</v>
      </c>
      <c r="E52" s="41">
        <f>SUMIFS(Data_Penjualan!$M$2:$M$61,Data_Penjualan!$K$2:$K$61,"Lunas",Data_Penjualan!$B$2:$B$61,"&gt;="&amp;DATE(2026,3,1),Data_Penjualan!$B$2:$B$61,"&lt;"&amp;DATE(2026,4,1))</f>
        <v>36710000</v>
      </c>
      <c r="F52" s="9" t="s">
        <v>765</v>
      </c>
    </row>
  </sheetData>
  <pageMargins left="0.75" right="0.75" top="1" bottom="1" header="0.511811023622047" footer="0.511811023622047"/>
  <pageSetup fitToHeight="0" orientation="landscape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C00000"/>
    <pageSetUpPr fitToPage="1"/>
  </sheetPr>
  <dimension ref="A1:I61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6640625" defaultRowHeight="14.4" x14ac:dyDescent="0.3"/>
  <cols>
    <col min="1" max="1" width="14" customWidth="1"/>
    <col min="2" max="2" width="26" customWidth="1"/>
    <col min="3" max="4" width="15" customWidth="1"/>
    <col min="5" max="5" width="17" customWidth="1"/>
    <col min="6" max="6" width="13" customWidth="1"/>
    <col min="7" max="7" width="17" customWidth="1"/>
    <col min="8" max="8" width="3" customWidth="1"/>
    <col min="9" max="9" width="60" customWidth="1"/>
  </cols>
  <sheetData>
    <row r="1" spans="1:9" ht="30" customHeight="1" x14ac:dyDescent="0.3">
      <c r="A1" s="17" t="s">
        <v>230</v>
      </c>
      <c r="B1" s="17" t="s">
        <v>243</v>
      </c>
      <c r="C1" s="17" t="s">
        <v>244</v>
      </c>
      <c r="D1" s="17" t="s">
        <v>245</v>
      </c>
      <c r="E1" s="17" t="s">
        <v>246</v>
      </c>
      <c r="F1" s="17" t="s">
        <v>247</v>
      </c>
      <c r="G1" s="17" t="s">
        <v>248</v>
      </c>
      <c r="I1" s="12" t="s">
        <v>766</v>
      </c>
    </row>
    <row r="2" spans="1:9" x14ac:dyDescent="0.3">
      <c r="A2" s="29" t="str">
        <f>Data_Penjualan!A2</f>
        <v>TRX-0001</v>
      </c>
      <c r="B2" s="29" t="str">
        <f>VLOOKUP(Data_Penjualan!E2,Master_Produk!$A$2:$F$11,2,FALSE())</f>
        <v>Meja Kerja Lipat</v>
      </c>
      <c r="C2" s="33">
        <f>VLOOKUP(Data_Penjualan!E2,Master_Produk!$A$2:$F$11,4,FALSE())</f>
        <v>600000</v>
      </c>
      <c r="D2" s="33">
        <f>Data_Penjualan!M2-Data_Penjualan!H2*C2</f>
        <v>600000</v>
      </c>
      <c r="E2" s="36">
        <f>IF(Data_Penjualan!C2="","Belum dikirim",DATEDIF(Data_Penjualan!B2,Data_Penjualan!C2,"d"))</f>
        <v>4</v>
      </c>
      <c r="F2" s="29" t="str">
        <f>IF(Data_Penjualan!M2&gt;=20000000,"Besar",IF(Data_Penjualan!M2&gt;=5000000,"Sedang","Kecil"))</f>
        <v>Kecil</v>
      </c>
      <c r="G2" s="29" t="str">
        <f>IF(AND(Data_Penjualan!K2&lt;&gt;"Lunas",Data_Penjualan!M2&gt;=10000000),"Prioritas Tagih",IF(Data_Penjualan!K2&lt;&gt;"Lunas","Tagih Biasa","Selesai"))</f>
        <v>Tagih Biasa</v>
      </c>
    </row>
    <row r="3" spans="1:9" x14ac:dyDescent="0.3">
      <c r="A3" s="29" t="str">
        <f>Data_Penjualan!A3</f>
        <v>TRX-0002</v>
      </c>
      <c r="B3" s="29" t="str">
        <f>VLOOKUP(Data_Penjualan!E3,Master_Produk!$A$2:$F$11,2,FALSE())</f>
        <v>Printer Epson L3210</v>
      </c>
      <c r="C3" s="33">
        <f>VLOOKUP(Data_Penjualan!E3,Master_Produk!$A$2:$F$11,4,FALSE())</f>
        <v>1950000</v>
      </c>
      <c r="D3" s="33">
        <f>Data_Penjualan!M3-Data_Penjualan!H3*C3</f>
        <v>840000</v>
      </c>
      <c r="E3" s="36">
        <f>IF(Data_Penjualan!C3="","Belum dikirim",DATEDIF(Data_Penjualan!B3,Data_Penjualan!C3,"d"))</f>
        <v>5</v>
      </c>
      <c r="F3" s="29" t="str">
        <f>IF(Data_Penjualan!M3&gt;=20000000,"Besar",IF(Data_Penjualan!M3&gt;=5000000,"Sedang","Kecil"))</f>
        <v>Sedang</v>
      </c>
      <c r="G3" s="29" t="str">
        <f>IF(AND(Data_Penjualan!K3&lt;&gt;"Lunas",Data_Penjualan!M3&gt;=10000000),"Prioritas Tagih",IF(Data_Penjualan!K3&lt;&gt;"Lunas","Tagih Biasa","Selesai"))</f>
        <v>Tagih Biasa</v>
      </c>
    </row>
    <row r="4" spans="1:9" x14ac:dyDescent="0.3">
      <c r="A4" s="29" t="str">
        <f>Data_Penjualan!A4</f>
        <v>TRX-0003</v>
      </c>
      <c r="B4" s="29" t="str">
        <f>VLOOKUP(Data_Penjualan!E4,Master_Produk!$A$2:$F$11,2,FALSE())</f>
        <v>Kursi Ergonomis Indachi</v>
      </c>
      <c r="C4" s="33">
        <f>VLOOKUP(Data_Penjualan!E4,Master_Produk!$A$2:$F$11,4,FALSE())</f>
        <v>1000000</v>
      </c>
      <c r="D4" s="33">
        <f>Data_Penjualan!M4-Data_Penjualan!H4*C4</f>
        <v>3500000</v>
      </c>
      <c r="E4" s="36">
        <f>IF(Data_Penjualan!C4="","Belum dikirim",DATEDIF(Data_Penjualan!B4,Data_Penjualan!C4,"d"))</f>
        <v>3</v>
      </c>
      <c r="F4" s="29" t="str">
        <f>IF(Data_Penjualan!M4&gt;=20000000,"Besar",IF(Data_Penjualan!M4&gt;=5000000,"Sedang","Kecil"))</f>
        <v>Sedang</v>
      </c>
      <c r="G4" s="29" t="str">
        <f>IF(AND(Data_Penjualan!K4&lt;&gt;"Lunas",Data_Penjualan!M4&gt;=10000000),"Prioritas Tagih",IF(Data_Penjualan!K4&lt;&gt;"Lunas","Tagih Biasa","Selesai"))</f>
        <v>Selesai</v>
      </c>
    </row>
    <row r="5" spans="1:9" x14ac:dyDescent="0.3">
      <c r="A5" s="29" t="str">
        <f>Data_Penjualan!A5</f>
        <v>TRX-0004</v>
      </c>
      <c r="B5" s="29" t="str">
        <f>VLOOKUP(Data_Penjualan!E5,Master_Produk!$A$2:$F$11,2,FALSE())</f>
        <v>Kertas A4 80gr (Rim)</v>
      </c>
      <c r="C5" s="33">
        <f>VLOOKUP(Data_Penjualan!E5,Master_Produk!$A$2:$F$11,4,FALSE())</f>
        <v>40000</v>
      </c>
      <c r="D5" s="33">
        <f>Data_Penjualan!M5-Data_Penjualan!H5*C5</f>
        <v>833000</v>
      </c>
      <c r="E5" s="36">
        <f>IF(Data_Penjualan!C5="","Belum dikirim",DATEDIF(Data_Penjualan!B5,Data_Penjualan!C5,"d"))</f>
        <v>3</v>
      </c>
      <c r="F5" s="29" t="str">
        <f>IF(Data_Penjualan!M5&gt;=20000000,"Besar",IF(Data_Penjualan!M5&gt;=5000000,"Sedang","Kecil"))</f>
        <v>Kecil</v>
      </c>
      <c r="G5" s="29" t="str">
        <f>IF(AND(Data_Penjualan!K5&lt;&gt;"Lunas",Data_Penjualan!M5&gt;=10000000),"Prioritas Tagih",IF(Data_Penjualan!K5&lt;&gt;"Lunas","Tagih Biasa","Selesai"))</f>
        <v>Tagih Biasa</v>
      </c>
    </row>
    <row r="6" spans="1:9" x14ac:dyDescent="0.3">
      <c r="A6" s="29" t="str">
        <f>Data_Penjualan!A6</f>
        <v>TRX-0005</v>
      </c>
      <c r="B6" s="29" t="str">
        <f>VLOOKUP(Data_Penjualan!E6,Master_Produk!$A$2:$F$11,2,FALSE())</f>
        <v>Meja Kerja Lipat</v>
      </c>
      <c r="C6" s="33">
        <f>VLOOKUP(Data_Penjualan!E6,Master_Produk!$A$2:$F$11,4,FALSE())</f>
        <v>600000</v>
      </c>
      <c r="D6" s="33">
        <f>Data_Penjualan!M6-Data_Penjualan!H6*C6</f>
        <v>1275000</v>
      </c>
      <c r="E6" s="36">
        <f>IF(Data_Penjualan!C6="","Belum dikirim",DATEDIF(Data_Penjualan!B6,Data_Penjualan!C6,"d"))</f>
        <v>5</v>
      </c>
      <c r="F6" s="29" t="str">
        <f>IF(Data_Penjualan!M6&gt;=20000000,"Besar",IF(Data_Penjualan!M6&gt;=5000000,"Sedang","Kecil"))</f>
        <v>Kecil</v>
      </c>
      <c r="G6" s="29" t="str">
        <f>IF(AND(Data_Penjualan!K6&lt;&gt;"Lunas",Data_Penjualan!M6&gt;=10000000),"Prioritas Tagih",IF(Data_Penjualan!K6&lt;&gt;"Lunas","Tagih Biasa","Selesai"))</f>
        <v>Tagih Biasa</v>
      </c>
    </row>
    <row r="7" spans="1:9" x14ac:dyDescent="0.3">
      <c r="A7" s="29" t="str">
        <f>Data_Penjualan!A7</f>
        <v>TRX-0006</v>
      </c>
      <c r="B7" s="29" t="str">
        <f>VLOOKUP(Data_Penjualan!E7,Master_Produk!$A$2:$F$11,2,FALSE())</f>
        <v>Headset Gaming Fantech</v>
      </c>
      <c r="C7" s="33">
        <f>VLOOKUP(Data_Penjualan!E7,Master_Produk!$A$2:$F$11,4,FALSE())</f>
        <v>320000</v>
      </c>
      <c r="D7" s="33">
        <f>Data_Penjualan!M7-Data_Penjualan!H7*C7</f>
        <v>1440000</v>
      </c>
      <c r="E7" s="36">
        <f>IF(Data_Penjualan!C7="","Belum dikirim",DATEDIF(Data_Penjualan!B7,Data_Penjualan!C7,"d"))</f>
        <v>6</v>
      </c>
      <c r="F7" s="29" t="str">
        <f>IF(Data_Penjualan!M7&gt;=20000000,"Besar",IF(Data_Penjualan!M7&gt;=5000000,"Sedang","Kecil"))</f>
        <v>Kecil</v>
      </c>
      <c r="G7" s="29" t="str">
        <f>IF(AND(Data_Penjualan!K7&lt;&gt;"Lunas",Data_Penjualan!M7&gt;=10000000),"Prioritas Tagih",IF(Data_Penjualan!K7&lt;&gt;"Lunas","Tagih Biasa","Selesai"))</f>
        <v>Selesai</v>
      </c>
    </row>
    <row r="8" spans="1:9" x14ac:dyDescent="0.3">
      <c r="A8" s="29" t="str">
        <f>Data_Penjualan!A8</f>
        <v>TRX-0007</v>
      </c>
      <c r="B8" s="29" t="str">
        <f>VLOOKUP(Data_Penjualan!E8,Master_Produk!$A$2:$F$11,2,FALSE())</f>
        <v>Monitor LG 24 inch</v>
      </c>
      <c r="C8" s="33">
        <f>VLOOKUP(Data_Penjualan!E8,Master_Produk!$A$2:$F$11,4,FALSE())</f>
        <v>1450000</v>
      </c>
      <c r="D8" s="33">
        <f>Data_Penjualan!M8-Data_Penjualan!H8*C8</f>
        <v>680000</v>
      </c>
      <c r="E8" s="36">
        <f>IF(Data_Penjualan!C8="","Belum dikirim",DATEDIF(Data_Penjualan!B8,Data_Penjualan!C8,"d"))</f>
        <v>1</v>
      </c>
      <c r="F8" s="29" t="str">
        <f>IF(Data_Penjualan!M8&gt;=20000000,"Besar",IF(Data_Penjualan!M8&gt;=5000000,"Sedang","Kecil"))</f>
        <v>Sedang</v>
      </c>
      <c r="G8" s="29" t="str">
        <f>IF(AND(Data_Penjualan!K8&lt;&gt;"Lunas",Data_Penjualan!M8&gt;=10000000),"Prioritas Tagih",IF(Data_Penjualan!K8&lt;&gt;"Lunas","Tagih Biasa","Selesai"))</f>
        <v>Selesai</v>
      </c>
    </row>
    <row r="9" spans="1:9" x14ac:dyDescent="0.3">
      <c r="A9" s="29" t="str">
        <f>Data_Penjualan!A9</f>
        <v>TRX-0008</v>
      </c>
      <c r="B9" s="29" t="str">
        <f>VLOOKUP(Data_Penjualan!E9,Master_Produk!$A$2:$F$11,2,FALSE())</f>
        <v>Headset Gaming Fantech</v>
      </c>
      <c r="C9" s="33">
        <f>VLOOKUP(Data_Penjualan!E9,Master_Produk!$A$2:$F$11,4,FALSE())</f>
        <v>320000</v>
      </c>
      <c r="D9" s="33">
        <f>Data_Penjualan!M9-Data_Penjualan!H9*C9</f>
        <v>480000</v>
      </c>
      <c r="E9" s="36">
        <f>IF(Data_Penjualan!C9="","Belum dikirim",DATEDIF(Data_Penjualan!B9,Data_Penjualan!C9,"d"))</f>
        <v>4</v>
      </c>
      <c r="F9" s="29" t="str">
        <f>IF(Data_Penjualan!M9&gt;=20000000,"Besar",IF(Data_Penjualan!M9&gt;=5000000,"Sedang","Kecil"))</f>
        <v>Kecil</v>
      </c>
      <c r="G9" s="29" t="str">
        <f>IF(AND(Data_Penjualan!K9&lt;&gt;"Lunas",Data_Penjualan!M9&gt;=10000000),"Prioritas Tagih",IF(Data_Penjualan!K9&lt;&gt;"Lunas","Tagih Biasa","Selesai"))</f>
        <v>Tagih Biasa</v>
      </c>
    </row>
    <row r="10" spans="1:9" x14ac:dyDescent="0.3">
      <c r="A10" s="29" t="str">
        <f>Data_Penjualan!A10</f>
        <v>TRX-0009</v>
      </c>
      <c r="B10" s="29" t="str">
        <f>VLOOKUP(Data_Penjualan!E10,Master_Produk!$A$2:$F$11,2,FALSE())</f>
        <v>Smartphone Samsung A15</v>
      </c>
      <c r="C10" s="33">
        <f>VLOOKUP(Data_Penjualan!E10,Master_Produk!$A$2:$F$11,4,FALSE())</f>
        <v>2700000</v>
      </c>
      <c r="D10" s="33">
        <f>Data_Penjualan!M10-Data_Penjualan!H10*C10</f>
        <v>340000</v>
      </c>
      <c r="E10" s="36">
        <f>IF(Data_Penjualan!C10="","Belum dikirim",DATEDIF(Data_Penjualan!B10,Data_Penjualan!C10,"d"))</f>
        <v>7</v>
      </c>
      <c r="F10" s="29" t="str">
        <f>IF(Data_Penjualan!M10&gt;=20000000,"Besar",IF(Data_Penjualan!M10&gt;=5000000,"Sedang","Kecil"))</f>
        <v>Kecil</v>
      </c>
      <c r="G10" s="29" t="str">
        <f>IF(AND(Data_Penjualan!K10&lt;&gt;"Lunas",Data_Penjualan!M10&gt;=10000000),"Prioritas Tagih",IF(Data_Penjualan!K10&lt;&gt;"Lunas","Tagih Biasa","Selesai"))</f>
        <v>Selesai</v>
      </c>
    </row>
    <row r="11" spans="1:9" x14ac:dyDescent="0.3">
      <c r="A11" s="29" t="str">
        <f>Data_Penjualan!A11</f>
        <v>TRX-0010</v>
      </c>
      <c r="B11" s="29" t="str">
        <f>VLOOKUP(Data_Penjualan!E11,Master_Produk!$A$2:$F$11,2,FALSE())</f>
        <v>Mouse Wireless Logitech</v>
      </c>
      <c r="C11" s="33">
        <f>VLOOKUP(Data_Penjualan!E11,Master_Produk!$A$2:$F$11,4,FALSE())</f>
        <v>160000</v>
      </c>
      <c r="D11" s="33">
        <f>Data_Penjualan!M11-Data_Penjualan!H11*C11</f>
        <v>620000</v>
      </c>
      <c r="E11" s="36">
        <f>IF(Data_Penjualan!C11="","Belum dikirim",DATEDIF(Data_Penjualan!B11,Data_Penjualan!C11,"d"))</f>
        <v>5</v>
      </c>
      <c r="F11" s="29" t="str">
        <f>IF(Data_Penjualan!M11&gt;=20000000,"Besar",IF(Data_Penjualan!M11&gt;=5000000,"Sedang","Kecil"))</f>
        <v>Kecil</v>
      </c>
      <c r="G11" s="29" t="str">
        <f>IF(AND(Data_Penjualan!K11&lt;&gt;"Lunas",Data_Penjualan!M11&gt;=10000000),"Prioritas Tagih",IF(Data_Penjualan!K11&lt;&gt;"Lunas","Tagih Biasa","Selesai"))</f>
        <v>Selesai</v>
      </c>
    </row>
    <row r="12" spans="1:9" x14ac:dyDescent="0.3">
      <c r="A12" s="29" t="str">
        <f>Data_Penjualan!A12</f>
        <v>TRX-0011</v>
      </c>
      <c r="B12" s="29" t="str">
        <f>VLOOKUP(Data_Penjualan!E12,Master_Produk!$A$2:$F$11,2,FALSE())</f>
        <v>Laptop Asus Vivobook 14</v>
      </c>
      <c r="C12" s="33">
        <f>VLOOKUP(Data_Penjualan!E12,Master_Produk!$A$2:$F$11,4,FALSE())</f>
        <v>7200000</v>
      </c>
      <c r="D12" s="33">
        <f>Data_Penjualan!M12-Data_Penjualan!H12*C12</f>
        <v>1350000</v>
      </c>
      <c r="E12" s="36">
        <f>IF(Data_Penjualan!C12="","Belum dikirim",DATEDIF(Data_Penjualan!B12,Data_Penjualan!C12,"d"))</f>
        <v>7</v>
      </c>
      <c r="F12" s="29" t="str">
        <f>IF(Data_Penjualan!M12&gt;=20000000,"Besar",IF(Data_Penjualan!M12&gt;=5000000,"Sedang","Kecil"))</f>
        <v>Besar</v>
      </c>
      <c r="G12" s="29" t="str">
        <f>IF(AND(Data_Penjualan!K12&lt;&gt;"Lunas",Data_Penjualan!M12&gt;=10000000),"Prioritas Tagih",IF(Data_Penjualan!K12&lt;&gt;"Lunas","Tagih Biasa","Selesai"))</f>
        <v>Selesai</v>
      </c>
    </row>
    <row r="13" spans="1:9" x14ac:dyDescent="0.3">
      <c r="A13" s="29" t="str">
        <f>Data_Penjualan!A13</f>
        <v>TRX-0012</v>
      </c>
      <c r="B13" s="29" t="str">
        <f>VLOOKUP(Data_Penjualan!E13,Master_Produk!$A$2:$F$11,2,FALSE())</f>
        <v>Meja Kerja Lipat</v>
      </c>
      <c r="C13" s="33">
        <f>VLOOKUP(Data_Penjualan!E13,Master_Produk!$A$2:$F$11,4,FALSE())</f>
        <v>600000</v>
      </c>
      <c r="D13" s="33">
        <f>Data_Penjualan!M13-Data_Penjualan!H13*C13</f>
        <v>1500000</v>
      </c>
      <c r="E13" s="36">
        <f>IF(Data_Penjualan!C13="","Belum dikirim",DATEDIF(Data_Penjualan!B13,Data_Penjualan!C13,"d"))</f>
        <v>6</v>
      </c>
      <c r="F13" s="29" t="str">
        <f>IF(Data_Penjualan!M13&gt;=20000000,"Besar",IF(Data_Penjualan!M13&gt;=5000000,"Sedang","Kecil"))</f>
        <v>Kecil</v>
      </c>
      <c r="G13" s="29" t="str">
        <f>IF(AND(Data_Penjualan!K13&lt;&gt;"Lunas",Data_Penjualan!M13&gt;=10000000),"Prioritas Tagih",IF(Data_Penjualan!K13&lt;&gt;"Lunas","Tagih Biasa","Selesai"))</f>
        <v>Tagih Biasa</v>
      </c>
    </row>
    <row r="14" spans="1:9" x14ac:dyDescent="0.3">
      <c r="A14" s="29" t="str">
        <f>Data_Penjualan!A14</f>
        <v>TRX-0013</v>
      </c>
      <c r="B14" s="29" t="str">
        <f>VLOOKUP(Data_Penjualan!E14,Master_Produk!$A$2:$F$11,2,FALSE())</f>
        <v>Kursi Ergonomis Indachi</v>
      </c>
      <c r="C14" s="33">
        <f>VLOOKUP(Data_Penjualan!E14,Master_Produk!$A$2:$F$11,4,FALSE())</f>
        <v>1000000</v>
      </c>
      <c r="D14" s="33">
        <f>Data_Penjualan!M14-Data_Penjualan!H14*C14</f>
        <v>1500000</v>
      </c>
      <c r="E14" s="36">
        <f>IF(Data_Penjualan!C14="","Belum dikirim",DATEDIF(Data_Penjualan!B14,Data_Penjualan!C14,"d"))</f>
        <v>5</v>
      </c>
      <c r="F14" s="29" t="str">
        <f>IF(Data_Penjualan!M14&gt;=20000000,"Besar",IF(Data_Penjualan!M14&gt;=5000000,"Sedang","Kecil"))</f>
        <v>Kecil</v>
      </c>
      <c r="G14" s="29" t="str">
        <f>IF(AND(Data_Penjualan!K14&lt;&gt;"Lunas",Data_Penjualan!M14&gt;=10000000),"Prioritas Tagih",IF(Data_Penjualan!K14&lt;&gt;"Lunas","Tagih Biasa","Selesai"))</f>
        <v>Tagih Biasa</v>
      </c>
    </row>
    <row r="15" spans="1:9" x14ac:dyDescent="0.3">
      <c r="A15" s="29" t="str">
        <f>Data_Penjualan!A15</f>
        <v>TRX-0014</v>
      </c>
      <c r="B15" s="29" t="str">
        <f>VLOOKUP(Data_Penjualan!E15,Master_Produk!$A$2:$F$11,2,FALSE())</f>
        <v>Kursi Ergonomis Indachi</v>
      </c>
      <c r="C15" s="33">
        <f>VLOOKUP(Data_Penjualan!E15,Master_Produk!$A$2:$F$11,4,FALSE())</f>
        <v>1000000</v>
      </c>
      <c r="D15" s="33">
        <f>Data_Penjualan!M15-Data_Penjualan!H15*C15</f>
        <v>1275000</v>
      </c>
      <c r="E15" s="36">
        <f>IF(Data_Penjualan!C15="","Belum dikirim",DATEDIF(Data_Penjualan!B15,Data_Penjualan!C15,"d"))</f>
        <v>4</v>
      </c>
      <c r="F15" s="29" t="str">
        <f>IF(Data_Penjualan!M15&gt;=20000000,"Besar",IF(Data_Penjualan!M15&gt;=5000000,"Sedang","Kecil"))</f>
        <v>Kecil</v>
      </c>
      <c r="G15" s="29" t="str">
        <f>IF(AND(Data_Penjualan!K15&lt;&gt;"Lunas",Data_Penjualan!M15&gt;=10000000),"Prioritas Tagih",IF(Data_Penjualan!K15&lt;&gt;"Lunas","Tagih Biasa","Selesai"))</f>
        <v>Tagih Biasa</v>
      </c>
    </row>
    <row r="16" spans="1:9" x14ac:dyDescent="0.3">
      <c r="A16" s="29" t="str">
        <f>Data_Penjualan!A16</f>
        <v>TRX-0015</v>
      </c>
      <c r="B16" s="29" t="str">
        <f>VLOOKUP(Data_Penjualan!E16,Master_Produk!$A$2:$F$11,2,FALSE())</f>
        <v>Smartphone Samsung A15</v>
      </c>
      <c r="C16" s="33">
        <f>VLOOKUP(Data_Penjualan!E16,Master_Produk!$A$2:$F$11,4,FALSE())</f>
        <v>2700000</v>
      </c>
      <c r="D16" s="33">
        <f>Data_Penjualan!M16-Data_Penjualan!H16*C16</f>
        <v>500000</v>
      </c>
      <c r="E16" s="36">
        <f>IF(Data_Penjualan!C16="","Belum dikirim",DATEDIF(Data_Penjualan!B16,Data_Penjualan!C16,"d"))</f>
        <v>7</v>
      </c>
      <c r="F16" s="29" t="str">
        <f>IF(Data_Penjualan!M16&gt;=20000000,"Besar",IF(Data_Penjualan!M16&gt;=5000000,"Sedang","Kecil"))</f>
        <v>Kecil</v>
      </c>
      <c r="G16" s="29" t="str">
        <f>IF(AND(Data_Penjualan!K16&lt;&gt;"Lunas",Data_Penjualan!M16&gt;=10000000),"Prioritas Tagih",IF(Data_Penjualan!K16&lt;&gt;"Lunas","Tagih Biasa","Selesai"))</f>
        <v>Tagih Biasa</v>
      </c>
    </row>
    <row r="17" spans="1:7" x14ac:dyDescent="0.3">
      <c r="A17" s="29" t="str">
        <f>Data_Penjualan!A17</f>
        <v>TRX-0016</v>
      </c>
      <c r="B17" s="29" t="str">
        <f>VLOOKUP(Data_Penjualan!E17,Master_Produk!$A$2:$F$11,2,FALSE())</f>
        <v>Headset Gaming Fantech</v>
      </c>
      <c r="C17" s="33">
        <f>VLOOKUP(Data_Penjualan!E17,Master_Produk!$A$2:$F$11,4,FALSE())</f>
        <v>320000</v>
      </c>
      <c r="D17" s="33">
        <f>Data_Penjualan!M17-Data_Penjualan!H17*C17</f>
        <v>1920000</v>
      </c>
      <c r="E17" s="36">
        <f>IF(Data_Penjualan!C17="","Belum dikirim",DATEDIF(Data_Penjualan!B17,Data_Penjualan!C17,"d"))</f>
        <v>1</v>
      </c>
      <c r="F17" s="29" t="str">
        <f>IF(Data_Penjualan!M17&gt;=20000000,"Besar",IF(Data_Penjualan!M17&gt;=5000000,"Sedang","Kecil"))</f>
        <v>Sedang</v>
      </c>
      <c r="G17" s="29" t="str">
        <f>IF(AND(Data_Penjualan!K17&lt;&gt;"Lunas",Data_Penjualan!M17&gt;=10000000),"Prioritas Tagih",IF(Data_Penjualan!K17&lt;&gt;"Lunas","Tagih Biasa","Selesai"))</f>
        <v>Selesai</v>
      </c>
    </row>
    <row r="18" spans="1:7" x14ac:dyDescent="0.3">
      <c r="A18" s="29" t="str">
        <f>Data_Penjualan!A18</f>
        <v>TRX-0017</v>
      </c>
      <c r="B18" s="29" t="str">
        <f>VLOOKUP(Data_Penjualan!E18,Master_Produk!$A$2:$F$11,2,FALSE())</f>
        <v>Monitor LG 24 inch</v>
      </c>
      <c r="C18" s="33">
        <f>VLOOKUP(Data_Penjualan!E18,Master_Produk!$A$2:$F$11,4,FALSE())</f>
        <v>1450000</v>
      </c>
      <c r="D18" s="33">
        <f>Data_Penjualan!M18-Data_Penjualan!H18*C18</f>
        <v>1300000</v>
      </c>
      <c r="E18" s="36">
        <f>IF(Data_Penjualan!C18="","Belum dikirim",DATEDIF(Data_Penjualan!B18,Data_Penjualan!C18,"d"))</f>
        <v>5</v>
      </c>
      <c r="F18" s="29" t="str">
        <f>IF(Data_Penjualan!M18&gt;=20000000,"Besar",IF(Data_Penjualan!M18&gt;=5000000,"Sedang","Kecil"))</f>
        <v>Sedang</v>
      </c>
      <c r="G18" s="29" t="str">
        <f>IF(AND(Data_Penjualan!K18&lt;&gt;"Lunas",Data_Penjualan!M18&gt;=10000000),"Prioritas Tagih",IF(Data_Penjualan!K18&lt;&gt;"Lunas","Tagih Biasa","Selesai"))</f>
        <v>Selesai</v>
      </c>
    </row>
    <row r="19" spans="1:7" x14ac:dyDescent="0.3">
      <c r="A19" s="29" t="str">
        <f>Data_Penjualan!A19</f>
        <v>TRX-0018</v>
      </c>
      <c r="B19" s="29" t="str">
        <f>VLOOKUP(Data_Penjualan!E19,Master_Produk!$A$2:$F$11,2,FALSE())</f>
        <v>Smartphone Samsung A15</v>
      </c>
      <c r="C19" s="33">
        <f>VLOOKUP(Data_Penjualan!E19,Master_Produk!$A$2:$F$11,4,FALSE())</f>
        <v>2700000</v>
      </c>
      <c r="D19" s="33">
        <f>Data_Penjualan!M19-Data_Penjualan!H19*C19</f>
        <v>3500000</v>
      </c>
      <c r="E19" s="36">
        <f>IF(Data_Penjualan!C19="","Belum dikirim",DATEDIF(Data_Penjualan!B19,Data_Penjualan!C19,"d"))</f>
        <v>2</v>
      </c>
      <c r="F19" s="29" t="str">
        <f>IF(Data_Penjualan!M19&gt;=20000000,"Besar",IF(Data_Penjualan!M19&gt;=5000000,"Sedang","Kecil"))</f>
        <v>Besar</v>
      </c>
      <c r="G19" s="29" t="str">
        <f>IF(AND(Data_Penjualan!K19&lt;&gt;"Lunas",Data_Penjualan!M19&gt;=10000000),"Prioritas Tagih",IF(Data_Penjualan!K19&lt;&gt;"Lunas","Tagih Biasa","Selesai"))</f>
        <v>Selesai</v>
      </c>
    </row>
    <row r="20" spans="1:7" x14ac:dyDescent="0.3">
      <c r="A20" s="29" t="str">
        <f>Data_Penjualan!A20</f>
        <v>TRX-0019</v>
      </c>
      <c r="B20" s="29" t="str">
        <f>VLOOKUP(Data_Penjualan!E20,Master_Produk!$A$2:$F$11,2,FALSE())</f>
        <v>Meja Kerja Lipat</v>
      </c>
      <c r="C20" s="33">
        <f>VLOOKUP(Data_Penjualan!E20,Master_Produk!$A$2:$F$11,4,FALSE())</f>
        <v>600000</v>
      </c>
      <c r="D20" s="33">
        <f>Data_Penjualan!M20-Data_Penjualan!H20*C20</f>
        <v>1800000</v>
      </c>
      <c r="E20" s="36">
        <f>IF(Data_Penjualan!C20="","Belum dikirim",DATEDIF(Data_Penjualan!B20,Data_Penjualan!C20,"d"))</f>
        <v>6</v>
      </c>
      <c r="F20" s="29" t="str">
        <f>IF(Data_Penjualan!M20&gt;=20000000,"Besar",IF(Data_Penjualan!M20&gt;=5000000,"Sedang","Kecil"))</f>
        <v>Sedang</v>
      </c>
      <c r="G20" s="29" t="str">
        <f>IF(AND(Data_Penjualan!K20&lt;&gt;"Lunas",Data_Penjualan!M20&gt;=10000000),"Prioritas Tagih",IF(Data_Penjualan!K20&lt;&gt;"Lunas","Tagih Biasa","Selesai"))</f>
        <v>Selesai</v>
      </c>
    </row>
    <row r="21" spans="1:7" x14ac:dyDescent="0.3">
      <c r="A21" s="29" t="str">
        <f>Data_Penjualan!A21</f>
        <v>TRX-0020</v>
      </c>
      <c r="B21" s="29" t="str">
        <f>VLOOKUP(Data_Penjualan!E21,Master_Produk!$A$2:$F$11,2,FALSE())</f>
        <v>Printer Epson L3210</v>
      </c>
      <c r="C21" s="33">
        <f>VLOOKUP(Data_Penjualan!E21,Master_Produk!$A$2:$F$11,4,FALSE())</f>
        <v>1950000</v>
      </c>
      <c r="D21" s="33">
        <f>Data_Penjualan!M21-Data_Penjualan!H21*C21</f>
        <v>900000</v>
      </c>
      <c r="E21" s="36">
        <f>IF(Data_Penjualan!C21="","Belum dikirim",DATEDIF(Data_Penjualan!B21,Data_Penjualan!C21,"d"))</f>
        <v>2</v>
      </c>
      <c r="F21" s="29" t="str">
        <f>IF(Data_Penjualan!M21&gt;=20000000,"Besar",IF(Data_Penjualan!M21&gt;=5000000,"Sedang","Kecil"))</f>
        <v>Kecil</v>
      </c>
      <c r="G21" s="29" t="str">
        <f>IF(AND(Data_Penjualan!K21&lt;&gt;"Lunas",Data_Penjualan!M21&gt;=10000000),"Prioritas Tagih",IF(Data_Penjualan!K21&lt;&gt;"Lunas","Tagih Biasa","Selesai"))</f>
        <v>Tagih Biasa</v>
      </c>
    </row>
    <row r="22" spans="1:7" x14ac:dyDescent="0.3">
      <c r="A22" s="29" t="str">
        <f>Data_Penjualan!A22</f>
        <v>TRX-0021</v>
      </c>
      <c r="B22" s="29" t="str">
        <f>VLOOKUP(Data_Penjualan!E22,Master_Produk!$A$2:$F$11,2,FALSE())</f>
        <v>Printer Epson L3210</v>
      </c>
      <c r="C22" s="33">
        <f>VLOOKUP(Data_Penjualan!E22,Master_Produk!$A$2:$F$11,4,FALSE())</f>
        <v>1950000</v>
      </c>
      <c r="D22" s="33">
        <f>Data_Penjualan!M22-Data_Penjualan!H22*C22</f>
        <v>1800000</v>
      </c>
      <c r="E22" s="36">
        <f>IF(Data_Penjualan!C22="","Belum dikirim",DATEDIF(Data_Penjualan!B22,Data_Penjualan!C22,"d"))</f>
        <v>2</v>
      </c>
      <c r="F22" s="29" t="str">
        <f>IF(Data_Penjualan!M22&gt;=20000000,"Besar",IF(Data_Penjualan!M22&gt;=5000000,"Sedang","Kecil"))</f>
        <v>Sedang</v>
      </c>
      <c r="G22" s="29" t="str">
        <f>IF(AND(Data_Penjualan!K22&lt;&gt;"Lunas",Data_Penjualan!M22&gt;=10000000),"Prioritas Tagih",IF(Data_Penjualan!K22&lt;&gt;"Lunas","Tagih Biasa","Selesai"))</f>
        <v>Selesai</v>
      </c>
    </row>
    <row r="23" spans="1:7" x14ac:dyDescent="0.3">
      <c r="A23" s="29" t="str">
        <f>Data_Penjualan!A23</f>
        <v>TRX-0022</v>
      </c>
      <c r="B23" s="29" t="str">
        <f>VLOOKUP(Data_Penjualan!E23,Master_Produk!$A$2:$F$11,2,FALSE())</f>
        <v>Meja Kerja Lipat</v>
      </c>
      <c r="C23" s="33">
        <f>VLOOKUP(Data_Penjualan!E23,Master_Produk!$A$2:$F$11,4,FALSE())</f>
        <v>600000</v>
      </c>
      <c r="D23" s="33">
        <f>Data_Penjualan!M23-Data_Penjualan!H23*C23</f>
        <v>1020000</v>
      </c>
      <c r="E23" s="36">
        <f>IF(Data_Penjualan!C23="","Belum dikirim",DATEDIF(Data_Penjualan!B23,Data_Penjualan!C23,"d"))</f>
        <v>2</v>
      </c>
      <c r="F23" s="29" t="str">
        <f>IF(Data_Penjualan!M23&gt;=20000000,"Besar",IF(Data_Penjualan!M23&gt;=5000000,"Sedang","Kecil"))</f>
        <v>Kecil</v>
      </c>
      <c r="G23" s="29" t="str">
        <f>IF(AND(Data_Penjualan!K23&lt;&gt;"Lunas",Data_Penjualan!M23&gt;=10000000),"Prioritas Tagih",IF(Data_Penjualan!K23&lt;&gt;"Lunas","Tagih Biasa","Selesai"))</f>
        <v>Selesai</v>
      </c>
    </row>
    <row r="24" spans="1:7" x14ac:dyDescent="0.3">
      <c r="A24" s="29" t="str">
        <f>Data_Penjualan!A24</f>
        <v>TRX-0023</v>
      </c>
      <c r="B24" s="29" t="str">
        <f>VLOOKUP(Data_Penjualan!E24,Master_Produk!$A$2:$F$11,2,FALSE())</f>
        <v>Meja Kerja Lipat</v>
      </c>
      <c r="C24" s="33">
        <f>VLOOKUP(Data_Penjualan!E24,Master_Produk!$A$2:$F$11,4,FALSE())</f>
        <v>600000</v>
      </c>
      <c r="D24" s="33">
        <f>Data_Penjualan!M24-Data_Penjualan!H24*C24</f>
        <v>255000</v>
      </c>
      <c r="E24" s="36">
        <f>IF(Data_Penjualan!C24="","Belum dikirim",DATEDIF(Data_Penjualan!B24,Data_Penjualan!C24,"d"))</f>
        <v>7</v>
      </c>
      <c r="F24" s="29" t="str">
        <f>IF(Data_Penjualan!M24&gt;=20000000,"Besar",IF(Data_Penjualan!M24&gt;=5000000,"Sedang","Kecil"))</f>
        <v>Kecil</v>
      </c>
      <c r="G24" s="29" t="str">
        <f>IF(AND(Data_Penjualan!K24&lt;&gt;"Lunas",Data_Penjualan!M24&gt;=10000000),"Prioritas Tagih",IF(Data_Penjualan!K24&lt;&gt;"Lunas","Tagih Biasa","Selesai"))</f>
        <v>Tagih Biasa</v>
      </c>
    </row>
    <row r="25" spans="1:7" x14ac:dyDescent="0.3">
      <c r="A25" s="29" t="str">
        <f>Data_Penjualan!A25</f>
        <v>TRX-0024</v>
      </c>
      <c r="B25" s="29" t="str">
        <f>VLOOKUP(Data_Penjualan!E25,Master_Produk!$A$2:$F$11,2,FALSE())</f>
        <v>Mouse Wireless Logitech</v>
      </c>
      <c r="C25" s="33">
        <f>VLOOKUP(Data_Penjualan!E25,Master_Produk!$A$2:$F$11,4,FALSE())</f>
        <v>160000</v>
      </c>
      <c r="D25" s="33">
        <f>Data_Penjualan!M25-Data_Penjualan!H25*C25</f>
        <v>450000</v>
      </c>
      <c r="E25" s="36">
        <f>IF(Data_Penjualan!C25="","Belum dikirim",DATEDIF(Data_Penjualan!B25,Data_Penjualan!C25,"d"))</f>
        <v>6</v>
      </c>
      <c r="F25" s="29" t="str">
        <f>IF(Data_Penjualan!M25&gt;=20000000,"Besar",IF(Data_Penjualan!M25&gt;=5000000,"Sedang","Kecil"))</f>
        <v>Kecil</v>
      </c>
      <c r="G25" s="29" t="str">
        <f>IF(AND(Data_Penjualan!K25&lt;&gt;"Lunas",Data_Penjualan!M25&gt;=10000000),"Prioritas Tagih",IF(Data_Penjualan!K25&lt;&gt;"Lunas","Tagih Biasa","Selesai"))</f>
        <v>Tagih Biasa</v>
      </c>
    </row>
    <row r="26" spans="1:7" x14ac:dyDescent="0.3">
      <c r="A26" s="29" t="str">
        <f>Data_Penjualan!A26</f>
        <v>TRX-0025</v>
      </c>
      <c r="B26" s="29" t="str">
        <f>VLOOKUP(Data_Penjualan!E26,Master_Produk!$A$2:$F$11,2,FALSE())</f>
        <v>Laptop Asus Vivobook 14</v>
      </c>
      <c r="C26" s="33">
        <f>VLOOKUP(Data_Penjualan!E26,Master_Produk!$A$2:$F$11,4,FALSE())</f>
        <v>7200000</v>
      </c>
      <c r="D26" s="33">
        <f>Data_Penjualan!M26-Data_Penjualan!H26*C26</f>
        <v>3900000</v>
      </c>
      <c r="E26" s="36">
        <f>IF(Data_Penjualan!C26="","Belum dikirim",DATEDIF(Data_Penjualan!B26,Data_Penjualan!C26,"d"))</f>
        <v>6</v>
      </c>
      <c r="F26" s="29" t="str">
        <f>IF(Data_Penjualan!M26&gt;=20000000,"Besar",IF(Data_Penjualan!M26&gt;=5000000,"Sedang","Kecil"))</f>
        <v>Besar</v>
      </c>
      <c r="G26" s="29" t="str">
        <f>IF(AND(Data_Penjualan!K26&lt;&gt;"Lunas",Data_Penjualan!M26&gt;=10000000),"Prioritas Tagih",IF(Data_Penjualan!K26&lt;&gt;"Lunas","Tagih Biasa","Selesai"))</f>
        <v>Selesai</v>
      </c>
    </row>
    <row r="27" spans="1:7" x14ac:dyDescent="0.3">
      <c r="A27" s="29" t="str">
        <f>Data_Penjualan!A27</f>
        <v>TRX-0026</v>
      </c>
      <c r="B27" s="29" t="str">
        <f>VLOOKUP(Data_Penjualan!E27,Master_Produk!$A$2:$F$11,2,FALSE())</f>
        <v>Smartphone Samsung A15</v>
      </c>
      <c r="C27" s="33">
        <f>VLOOKUP(Data_Penjualan!E27,Master_Produk!$A$2:$F$11,4,FALSE())</f>
        <v>2700000</v>
      </c>
      <c r="D27" s="33">
        <f>Data_Penjualan!M27-Data_Penjualan!H27*C27</f>
        <v>1700000</v>
      </c>
      <c r="E27" s="36">
        <f>IF(Data_Penjualan!C27="","Belum dikirim",DATEDIF(Data_Penjualan!B27,Data_Penjualan!C27,"d"))</f>
        <v>6</v>
      </c>
      <c r="F27" s="29" t="str">
        <f>IF(Data_Penjualan!M27&gt;=20000000,"Besar",IF(Data_Penjualan!M27&gt;=5000000,"Sedang","Kecil"))</f>
        <v>Sedang</v>
      </c>
      <c r="G27" s="29" t="str">
        <f>IF(AND(Data_Penjualan!K27&lt;&gt;"Lunas",Data_Penjualan!M27&gt;=10000000),"Prioritas Tagih",IF(Data_Penjualan!K27&lt;&gt;"Lunas","Tagih Biasa","Selesai"))</f>
        <v>Prioritas Tagih</v>
      </c>
    </row>
    <row r="28" spans="1:7" x14ac:dyDescent="0.3">
      <c r="A28" s="29" t="str">
        <f>Data_Penjualan!A28</f>
        <v>TRX-0027</v>
      </c>
      <c r="B28" s="29" t="str">
        <f>VLOOKUP(Data_Penjualan!E28,Master_Produk!$A$2:$F$11,2,FALSE())</f>
        <v>Kertas A4 80gr (Rim)</v>
      </c>
      <c r="C28" s="33">
        <f>VLOOKUP(Data_Penjualan!E28,Master_Produk!$A$2:$F$11,4,FALSE())</f>
        <v>40000</v>
      </c>
      <c r="D28" s="33">
        <f>Data_Penjualan!M28-Data_Penjualan!H28*C28</f>
        <v>418000</v>
      </c>
      <c r="E28" s="36">
        <f>IF(Data_Penjualan!C28="","Belum dikirim",DATEDIF(Data_Penjualan!B28,Data_Penjualan!C28,"d"))</f>
        <v>1</v>
      </c>
      <c r="F28" s="29" t="str">
        <f>IF(Data_Penjualan!M28&gt;=20000000,"Besar",IF(Data_Penjualan!M28&gt;=5000000,"Sedang","Kecil"))</f>
        <v>Kecil</v>
      </c>
      <c r="G28" s="29" t="str">
        <f>IF(AND(Data_Penjualan!K28&lt;&gt;"Lunas",Data_Penjualan!M28&gt;=10000000),"Prioritas Tagih",IF(Data_Penjualan!K28&lt;&gt;"Lunas","Tagih Biasa","Selesai"))</f>
        <v>Selesai</v>
      </c>
    </row>
    <row r="29" spans="1:7" x14ac:dyDescent="0.3">
      <c r="A29" s="29" t="str">
        <f>Data_Penjualan!A29</f>
        <v>TRX-0028</v>
      </c>
      <c r="B29" s="29" t="str">
        <f>VLOOKUP(Data_Penjualan!E29,Master_Produk!$A$2:$F$11,2,FALSE())</f>
        <v>Monitor LG 24 inch</v>
      </c>
      <c r="C29" s="33">
        <f>VLOOKUP(Data_Penjualan!E29,Master_Produk!$A$2:$F$11,4,FALSE())</f>
        <v>1450000</v>
      </c>
      <c r="D29" s="33">
        <f>Data_Penjualan!M29-Data_Penjualan!H29*C29</f>
        <v>170000</v>
      </c>
      <c r="E29" s="36">
        <f>IF(Data_Penjualan!C29="","Belum dikirim",DATEDIF(Data_Penjualan!B29,Data_Penjualan!C29,"d"))</f>
        <v>3</v>
      </c>
      <c r="F29" s="29" t="str">
        <f>IF(Data_Penjualan!M29&gt;=20000000,"Besar",IF(Data_Penjualan!M29&gt;=5000000,"Sedang","Kecil"))</f>
        <v>Kecil</v>
      </c>
      <c r="G29" s="29" t="str">
        <f>IF(AND(Data_Penjualan!K29&lt;&gt;"Lunas",Data_Penjualan!M29&gt;=10000000),"Prioritas Tagih",IF(Data_Penjualan!K29&lt;&gt;"Lunas","Tagih Biasa","Selesai"))</f>
        <v>Selesai</v>
      </c>
    </row>
    <row r="30" spans="1:7" x14ac:dyDescent="0.3">
      <c r="A30" s="29" t="str">
        <f>Data_Penjualan!A30</f>
        <v>TRX-0029</v>
      </c>
      <c r="B30" s="29" t="str">
        <f>VLOOKUP(Data_Penjualan!E30,Master_Produk!$A$2:$F$11,2,FALSE())</f>
        <v>Printer Epson L3210</v>
      </c>
      <c r="C30" s="33">
        <f>VLOOKUP(Data_Penjualan!E30,Master_Produk!$A$2:$F$11,4,FALSE())</f>
        <v>1950000</v>
      </c>
      <c r="D30" s="33">
        <f>Data_Penjualan!M30-Data_Penjualan!H30*C30</f>
        <v>1350000</v>
      </c>
      <c r="E30" s="36">
        <f>IF(Data_Penjualan!C30="","Belum dikirim",DATEDIF(Data_Penjualan!B30,Data_Penjualan!C30,"d"))</f>
        <v>1</v>
      </c>
      <c r="F30" s="29" t="str">
        <f>IF(Data_Penjualan!M30&gt;=20000000,"Besar",IF(Data_Penjualan!M30&gt;=5000000,"Sedang","Kecil"))</f>
        <v>Sedang</v>
      </c>
      <c r="G30" s="29" t="str">
        <f>IF(AND(Data_Penjualan!K30&lt;&gt;"Lunas",Data_Penjualan!M30&gt;=10000000),"Prioritas Tagih",IF(Data_Penjualan!K30&lt;&gt;"Lunas","Tagih Biasa","Selesai"))</f>
        <v>Selesai</v>
      </c>
    </row>
    <row r="31" spans="1:7" x14ac:dyDescent="0.3">
      <c r="A31" s="29" t="str">
        <f>Data_Penjualan!A31</f>
        <v>TRX-0030</v>
      </c>
      <c r="B31" s="29" t="str">
        <f>VLOOKUP(Data_Penjualan!E31,Master_Produk!$A$2:$F$11,2,FALSE())</f>
        <v>Keyboard Mekanik Rexus</v>
      </c>
      <c r="C31" s="33">
        <f>VLOOKUP(Data_Penjualan!E31,Master_Produk!$A$2:$F$11,4,FALSE())</f>
        <v>450000</v>
      </c>
      <c r="D31" s="33">
        <f>Data_Penjualan!M31-Data_Penjualan!H31*C31</f>
        <v>1200000</v>
      </c>
      <c r="E31" s="36">
        <f>IF(Data_Penjualan!C31="","Belum dikirim",DATEDIF(Data_Penjualan!B31,Data_Penjualan!C31,"d"))</f>
        <v>7</v>
      </c>
      <c r="F31" s="29" t="str">
        <f>IF(Data_Penjualan!M31&gt;=20000000,"Besar",IF(Data_Penjualan!M31&gt;=5000000,"Sedang","Kecil"))</f>
        <v>Kecil</v>
      </c>
      <c r="G31" s="29" t="str">
        <f>IF(AND(Data_Penjualan!K31&lt;&gt;"Lunas",Data_Penjualan!M31&gt;=10000000),"Prioritas Tagih",IF(Data_Penjualan!K31&lt;&gt;"Lunas","Tagih Biasa","Selesai"))</f>
        <v>Selesai</v>
      </c>
    </row>
    <row r="32" spans="1:7" x14ac:dyDescent="0.3">
      <c r="A32" s="29" t="str">
        <f>Data_Penjualan!A32</f>
        <v>TRX-0031</v>
      </c>
      <c r="B32" s="29" t="str">
        <f>VLOOKUP(Data_Penjualan!E32,Master_Produk!$A$2:$F$11,2,FALSE())</f>
        <v>Laptop Asus Vivobook 14</v>
      </c>
      <c r="C32" s="33">
        <f>VLOOKUP(Data_Penjualan!E32,Master_Produk!$A$2:$F$11,4,FALSE())</f>
        <v>7200000</v>
      </c>
      <c r="D32" s="33">
        <f>Data_Penjualan!M32-Data_Penjualan!H32*C32</f>
        <v>1300000</v>
      </c>
      <c r="E32" s="36">
        <f>IF(Data_Penjualan!C32="","Belum dikirim",DATEDIF(Data_Penjualan!B32,Data_Penjualan!C32,"d"))</f>
        <v>1</v>
      </c>
      <c r="F32" s="29" t="str">
        <f>IF(Data_Penjualan!M32&gt;=20000000,"Besar",IF(Data_Penjualan!M32&gt;=5000000,"Sedang","Kecil"))</f>
        <v>Sedang</v>
      </c>
      <c r="G32" s="29" t="str">
        <f>IF(AND(Data_Penjualan!K32&lt;&gt;"Lunas",Data_Penjualan!M32&gt;=10000000),"Prioritas Tagih",IF(Data_Penjualan!K32&lt;&gt;"Lunas","Tagih Biasa","Selesai"))</f>
        <v>Selesai</v>
      </c>
    </row>
    <row r="33" spans="1:7" x14ac:dyDescent="0.3">
      <c r="A33" s="29" t="str">
        <f>Data_Penjualan!A33</f>
        <v>TRX-0032</v>
      </c>
      <c r="B33" s="29" t="str">
        <f>VLOOKUP(Data_Penjualan!E33,Master_Produk!$A$2:$F$11,2,FALSE())</f>
        <v>Headset Gaming Fantech</v>
      </c>
      <c r="C33" s="33">
        <f>VLOOKUP(Data_Penjualan!E33,Master_Produk!$A$2:$F$11,4,FALSE())</f>
        <v>320000</v>
      </c>
      <c r="D33" s="33">
        <f>Data_Penjualan!M33-Data_Penjualan!H33*C33</f>
        <v>1224000</v>
      </c>
      <c r="E33" s="36">
        <f>IF(Data_Penjualan!C33="","Belum dikirim",DATEDIF(Data_Penjualan!B33,Data_Penjualan!C33,"d"))</f>
        <v>6</v>
      </c>
      <c r="F33" s="29" t="str">
        <f>IF(Data_Penjualan!M33&gt;=20000000,"Besar",IF(Data_Penjualan!M33&gt;=5000000,"Sedang","Kecil"))</f>
        <v>Kecil</v>
      </c>
      <c r="G33" s="29" t="str">
        <f>IF(AND(Data_Penjualan!K33&lt;&gt;"Lunas",Data_Penjualan!M33&gt;=10000000),"Prioritas Tagih",IF(Data_Penjualan!K33&lt;&gt;"Lunas","Tagih Biasa","Selesai"))</f>
        <v>Tagih Biasa</v>
      </c>
    </row>
    <row r="34" spans="1:7" x14ac:dyDescent="0.3">
      <c r="A34" s="29" t="str">
        <f>Data_Penjualan!A34</f>
        <v>TRX-0033</v>
      </c>
      <c r="B34" s="29" t="str">
        <f>VLOOKUP(Data_Penjualan!E34,Master_Produk!$A$2:$F$11,2,FALSE())</f>
        <v>Headset Gaming Fantech</v>
      </c>
      <c r="C34" s="33">
        <f>VLOOKUP(Data_Penjualan!E34,Master_Produk!$A$2:$F$11,4,FALSE())</f>
        <v>320000</v>
      </c>
      <c r="D34" s="33">
        <f>Data_Penjualan!M34-Data_Penjualan!H34*C34</f>
        <v>1760000</v>
      </c>
      <c r="E34" s="36">
        <f>IF(Data_Penjualan!C34="","Belum dikirim",DATEDIF(Data_Penjualan!B34,Data_Penjualan!C34,"d"))</f>
        <v>4</v>
      </c>
      <c r="F34" s="29" t="str">
        <f>IF(Data_Penjualan!M34&gt;=20000000,"Besar",IF(Data_Penjualan!M34&gt;=5000000,"Sedang","Kecil"))</f>
        <v>Sedang</v>
      </c>
      <c r="G34" s="29" t="str">
        <f>IF(AND(Data_Penjualan!K34&lt;&gt;"Lunas",Data_Penjualan!M34&gt;=10000000),"Prioritas Tagih",IF(Data_Penjualan!K34&lt;&gt;"Lunas","Tagih Biasa","Selesai"))</f>
        <v>Selesai</v>
      </c>
    </row>
    <row r="35" spans="1:7" x14ac:dyDescent="0.3">
      <c r="A35" s="29" t="str">
        <f>Data_Penjualan!A35</f>
        <v>TRX-0034</v>
      </c>
      <c r="B35" s="29" t="str">
        <f>VLOOKUP(Data_Penjualan!E35,Master_Produk!$A$2:$F$11,2,FALSE())</f>
        <v>Printer Epson L3210</v>
      </c>
      <c r="C35" s="33">
        <f>VLOOKUP(Data_Penjualan!E35,Master_Produk!$A$2:$F$11,4,FALSE())</f>
        <v>1950000</v>
      </c>
      <c r="D35" s="33">
        <f>Data_Penjualan!M35-Data_Penjualan!H35*C35</f>
        <v>990000</v>
      </c>
      <c r="E35" s="36">
        <f>IF(Data_Penjualan!C35="","Belum dikirim",DATEDIF(Data_Penjualan!B35,Data_Penjualan!C35,"d"))</f>
        <v>7</v>
      </c>
      <c r="F35" s="29" t="str">
        <f>IF(Data_Penjualan!M35&gt;=20000000,"Besar",IF(Data_Penjualan!M35&gt;=5000000,"Sedang","Kecil"))</f>
        <v>Sedang</v>
      </c>
      <c r="G35" s="29" t="str">
        <f>IF(AND(Data_Penjualan!K35&lt;&gt;"Lunas",Data_Penjualan!M35&gt;=10000000),"Prioritas Tagih",IF(Data_Penjualan!K35&lt;&gt;"Lunas","Tagih Biasa","Selesai"))</f>
        <v>Selesai</v>
      </c>
    </row>
    <row r="36" spans="1:7" x14ac:dyDescent="0.3">
      <c r="A36" s="29" t="str">
        <f>Data_Penjualan!A36</f>
        <v>TRX-0035</v>
      </c>
      <c r="B36" s="29" t="str">
        <f>VLOOKUP(Data_Penjualan!E36,Master_Produk!$A$2:$F$11,2,FALSE())</f>
        <v>Laptop Asus Vivobook 14</v>
      </c>
      <c r="C36" s="33">
        <f>VLOOKUP(Data_Penjualan!E36,Master_Produk!$A$2:$F$11,4,FALSE())</f>
        <v>7200000</v>
      </c>
      <c r="D36" s="33">
        <f>Data_Penjualan!M36-Data_Penjualan!H36*C36</f>
        <v>1350000</v>
      </c>
      <c r="E36" s="36">
        <f>IF(Data_Penjualan!C36="","Belum dikirim",DATEDIF(Data_Penjualan!B36,Data_Penjualan!C36,"d"))</f>
        <v>6</v>
      </c>
      <c r="F36" s="29" t="str">
        <f>IF(Data_Penjualan!M36&gt;=20000000,"Besar",IF(Data_Penjualan!M36&gt;=5000000,"Sedang","Kecil"))</f>
        <v>Besar</v>
      </c>
      <c r="G36" s="29" t="str">
        <f>IF(AND(Data_Penjualan!K36&lt;&gt;"Lunas",Data_Penjualan!M36&gt;=10000000),"Prioritas Tagih",IF(Data_Penjualan!K36&lt;&gt;"Lunas","Tagih Biasa","Selesai"))</f>
        <v>Selesai</v>
      </c>
    </row>
    <row r="37" spans="1:7" x14ac:dyDescent="0.3">
      <c r="A37" s="29" t="str">
        <f>Data_Penjualan!A37</f>
        <v>TRX-0036</v>
      </c>
      <c r="B37" s="29" t="str">
        <f>VLOOKUP(Data_Penjualan!E37,Master_Produk!$A$2:$F$11,2,FALSE())</f>
        <v>Headset Gaming Fantech</v>
      </c>
      <c r="C37" s="33">
        <f>VLOOKUP(Data_Penjualan!E37,Master_Produk!$A$2:$F$11,4,FALSE())</f>
        <v>320000</v>
      </c>
      <c r="D37" s="33">
        <f>Data_Penjualan!M37-Data_Penjualan!H37*C37</f>
        <v>1760000</v>
      </c>
      <c r="E37" s="36">
        <f>IF(Data_Penjualan!C37="","Belum dikirim",DATEDIF(Data_Penjualan!B37,Data_Penjualan!C37,"d"))</f>
        <v>3</v>
      </c>
      <c r="F37" s="29" t="str">
        <f>IF(Data_Penjualan!M37&gt;=20000000,"Besar",IF(Data_Penjualan!M37&gt;=5000000,"Sedang","Kecil"))</f>
        <v>Sedang</v>
      </c>
      <c r="G37" s="29" t="str">
        <f>IF(AND(Data_Penjualan!K37&lt;&gt;"Lunas",Data_Penjualan!M37&gt;=10000000),"Prioritas Tagih",IF(Data_Penjualan!K37&lt;&gt;"Lunas","Tagih Biasa","Selesai"))</f>
        <v>Selesai</v>
      </c>
    </row>
    <row r="38" spans="1:7" x14ac:dyDescent="0.3">
      <c r="A38" s="29" t="str">
        <f>Data_Penjualan!A38</f>
        <v>TRX-0037</v>
      </c>
      <c r="B38" s="29" t="str">
        <f>VLOOKUP(Data_Penjualan!E38,Master_Produk!$A$2:$F$11,2,FALSE())</f>
        <v>Smartphone Samsung A15</v>
      </c>
      <c r="C38" s="33">
        <f>VLOOKUP(Data_Penjualan!E38,Master_Produk!$A$2:$F$11,4,FALSE())</f>
        <v>2700000</v>
      </c>
      <c r="D38" s="33">
        <f>Data_Penjualan!M38-Data_Penjualan!H38*C38</f>
        <v>1020000</v>
      </c>
      <c r="E38" s="36">
        <f>IF(Data_Penjualan!C38="","Belum dikirim",DATEDIF(Data_Penjualan!B38,Data_Penjualan!C38,"d"))</f>
        <v>1</v>
      </c>
      <c r="F38" s="29" t="str">
        <f>IF(Data_Penjualan!M38&gt;=20000000,"Besar",IF(Data_Penjualan!M38&gt;=5000000,"Sedang","Kecil"))</f>
        <v>Sedang</v>
      </c>
      <c r="G38" s="29" t="str">
        <f>IF(AND(Data_Penjualan!K38&lt;&gt;"Lunas",Data_Penjualan!M38&gt;=10000000),"Prioritas Tagih",IF(Data_Penjualan!K38&lt;&gt;"Lunas","Tagih Biasa","Selesai"))</f>
        <v>Selesai</v>
      </c>
    </row>
    <row r="39" spans="1:7" x14ac:dyDescent="0.3">
      <c r="A39" s="29" t="str">
        <f>Data_Penjualan!A39</f>
        <v>TRX-0038</v>
      </c>
      <c r="B39" s="29" t="str">
        <f>VLOOKUP(Data_Penjualan!E39,Master_Produk!$A$2:$F$11,2,FALSE())</f>
        <v>Kertas A4 80gr (Rim)</v>
      </c>
      <c r="C39" s="33">
        <f>VLOOKUP(Data_Penjualan!E39,Master_Produk!$A$2:$F$11,4,FALSE())</f>
        <v>40000</v>
      </c>
      <c r="D39" s="33">
        <f>Data_Penjualan!M39-Data_Penjualan!H39*C39</f>
        <v>720000</v>
      </c>
      <c r="E39" s="36">
        <f>IF(Data_Penjualan!C39="","Belum dikirim",DATEDIF(Data_Penjualan!B39,Data_Penjualan!C39,"d"))</f>
        <v>2</v>
      </c>
      <c r="F39" s="29" t="str">
        <f>IF(Data_Penjualan!M39&gt;=20000000,"Besar",IF(Data_Penjualan!M39&gt;=5000000,"Sedang","Kecil"))</f>
        <v>Kecil</v>
      </c>
      <c r="G39" s="29" t="str">
        <f>IF(AND(Data_Penjualan!K39&lt;&gt;"Lunas",Data_Penjualan!M39&gt;=10000000),"Prioritas Tagih",IF(Data_Penjualan!K39&lt;&gt;"Lunas","Tagih Biasa","Selesai"))</f>
        <v>Selesai</v>
      </c>
    </row>
    <row r="40" spans="1:7" x14ac:dyDescent="0.3">
      <c r="A40" s="29" t="str">
        <f>Data_Penjualan!A40</f>
        <v>TRX-0039</v>
      </c>
      <c r="B40" s="29" t="str">
        <f>VLOOKUP(Data_Penjualan!E40,Master_Produk!$A$2:$F$11,2,FALSE())</f>
        <v>Kursi Ergonomis Indachi</v>
      </c>
      <c r="C40" s="33">
        <f>VLOOKUP(Data_Penjualan!E40,Master_Produk!$A$2:$F$11,4,FALSE())</f>
        <v>1000000</v>
      </c>
      <c r="D40" s="33">
        <f>Data_Penjualan!M40-Data_Penjualan!H40*C40</f>
        <v>1700000</v>
      </c>
      <c r="E40" s="36">
        <f>IF(Data_Penjualan!C40="","Belum dikirim",DATEDIF(Data_Penjualan!B40,Data_Penjualan!C40,"d"))</f>
        <v>7</v>
      </c>
      <c r="F40" s="29" t="str">
        <f>IF(Data_Penjualan!M40&gt;=20000000,"Besar",IF(Data_Penjualan!M40&gt;=5000000,"Sedang","Kecil"))</f>
        <v>Sedang</v>
      </c>
      <c r="G40" s="29" t="str">
        <f>IF(AND(Data_Penjualan!K40&lt;&gt;"Lunas",Data_Penjualan!M40&gt;=10000000),"Prioritas Tagih",IF(Data_Penjualan!K40&lt;&gt;"Lunas","Tagih Biasa","Selesai"))</f>
        <v>Tagih Biasa</v>
      </c>
    </row>
    <row r="41" spans="1:7" x14ac:dyDescent="0.3">
      <c r="A41" s="29" t="str">
        <f>Data_Penjualan!A41</f>
        <v>TRX-0040</v>
      </c>
      <c r="B41" s="29" t="str">
        <f>VLOOKUP(Data_Penjualan!E41,Master_Produk!$A$2:$F$11,2,FALSE())</f>
        <v>Printer Epson L3210</v>
      </c>
      <c r="C41" s="33">
        <f>VLOOKUP(Data_Penjualan!E41,Master_Produk!$A$2:$F$11,4,FALSE())</f>
        <v>1950000</v>
      </c>
      <c r="D41" s="33">
        <f>Data_Penjualan!M41-Data_Penjualan!H41*C41</f>
        <v>1800000</v>
      </c>
      <c r="E41" s="36">
        <f>IF(Data_Penjualan!C41="","Belum dikirim",DATEDIF(Data_Penjualan!B41,Data_Penjualan!C41,"d"))</f>
        <v>2</v>
      </c>
      <c r="F41" s="29" t="str">
        <f>IF(Data_Penjualan!M41&gt;=20000000,"Besar",IF(Data_Penjualan!M41&gt;=5000000,"Sedang","Kecil"))</f>
        <v>Sedang</v>
      </c>
      <c r="G41" s="29" t="str">
        <f>IF(AND(Data_Penjualan!K41&lt;&gt;"Lunas",Data_Penjualan!M41&gt;=10000000),"Prioritas Tagih",IF(Data_Penjualan!K41&lt;&gt;"Lunas","Tagih Biasa","Selesai"))</f>
        <v>Tagih Biasa</v>
      </c>
    </row>
    <row r="42" spans="1:7" x14ac:dyDescent="0.3">
      <c r="A42" s="29" t="str">
        <f>Data_Penjualan!A42</f>
        <v>TRX-0041</v>
      </c>
      <c r="B42" s="29" t="str">
        <f>VLOOKUP(Data_Penjualan!E42,Master_Produk!$A$2:$F$11,2,FALSE())</f>
        <v>Printer Epson L3210</v>
      </c>
      <c r="C42" s="33">
        <f>VLOOKUP(Data_Penjualan!E42,Master_Produk!$A$2:$F$11,4,FALSE())</f>
        <v>1950000</v>
      </c>
      <c r="D42" s="33">
        <f>Data_Penjualan!M42-Data_Penjualan!H42*C42</f>
        <v>1320000</v>
      </c>
      <c r="E42" s="36">
        <f>IF(Data_Penjualan!C42="","Belum dikirim",DATEDIF(Data_Penjualan!B42,Data_Penjualan!C42,"d"))</f>
        <v>3</v>
      </c>
      <c r="F42" s="29" t="str">
        <f>IF(Data_Penjualan!M42&gt;=20000000,"Besar",IF(Data_Penjualan!M42&gt;=5000000,"Sedang","Kecil"))</f>
        <v>Sedang</v>
      </c>
      <c r="G42" s="29" t="str">
        <f>IF(AND(Data_Penjualan!K42&lt;&gt;"Lunas",Data_Penjualan!M42&gt;=10000000),"Prioritas Tagih",IF(Data_Penjualan!K42&lt;&gt;"Lunas","Tagih Biasa","Selesai"))</f>
        <v>Selesai</v>
      </c>
    </row>
    <row r="43" spans="1:7" x14ac:dyDescent="0.3">
      <c r="A43" s="29" t="str">
        <f>Data_Penjualan!A43</f>
        <v>TRX-0042</v>
      </c>
      <c r="B43" s="29" t="str">
        <f>VLOOKUP(Data_Penjualan!E43,Master_Produk!$A$2:$F$11,2,FALSE())</f>
        <v>Monitor LG 24 inch</v>
      </c>
      <c r="C43" s="33">
        <f>VLOOKUP(Data_Penjualan!E43,Master_Produk!$A$2:$F$11,4,FALSE())</f>
        <v>1450000</v>
      </c>
      <c r="D43" s="33">
        <f>Data_Penjualan!M43-Data_Penjualan!H43*C43</f>
        <v>1750000</v>
      </c>
      <c r="E43" s="36">
        <f>IF(Data_Penjualan!C43="","Belum dikirim",DATEDIF(Data_Penjualan!B43,Data_Penjualan!C43,"d"))</f>
        <v>7</v>
      </c>
      <c r="F43" s="29" t="str">
        <f>IF(Data_Penjualan!M43&gt;=20000000,"Besar",IF(Data_Penjualan!M43&gt;=5000000,"Sedang","Kecil"))</f>
        <v>Sedang</v>
      </c>
      <c r="G43" s="29" t="str">
        <f>IF(AND(Data_Penjualan!K43&lt;&gt;"Lunas",Data_Penjualan!M43&gt;=10000000),"Prioritas Tagih",IF(Data_Penjualan!K43&lt;&gt;"Lunas","Tagih Biasa","Selesai"))</f>
        <v>Tagih Biasa</v>
      </c>
    </row>
    <row r="44" spans="1:7" x14ac:dyDescent="0.3">
      <c r="A44" s="29" t="str">
        <f>Data_Penjualan!A44</f>
        <v>TRX-0043</v>
      </c>
      <c r="B44" s="29" t="str">
        <f>VLOOKUP(Data_Penjualan!E44,Master_Produk!$A$2:$F$11,2,FALSE())</f>
        <v>Printer Epson L3210</v>
      </c>
      <c r="C44" s="33">
        <f>VLOOKUP(Data_Penjualan!E44,Master_Produk!$A$2:$F$11,4,FALSE())</f>
        <v>1950000</v>
      </c>
      <c r="D44" s="33">
        <f>Data_Penjualan!M44-Data_Penjualan!H44*C44</f>
        <v>1350000</v>
      </c>
      <c r="E44" s="36">
        <f>IF(Data_Penjualan!C44="","Belum dikirim",DATEDIF(Data_Penjualan!B44,Data_Penjualan!C44,"d"))</f>
        <v>1</v>
      </c>
      <c r="F44" s="29" t="str">
        <f>IF(Data_Penjualan!M44&gt;=20000000,"Besar",IF(Data_Penjualan!M44&gt;=5000000,"Sedang","Kecil"))</f>
        <v>Sedang</v>
      </c>
      <c r="G44" s="29" t="str">
        <f>IF(AND(Data_Penjualan!K44&lt;&gt;"Lunas",Data_Penjualan!M44&gt;=10000000),"Prioritas Tagih",IF(Data_Penjualan!K44&lt;&gt;"Lunas","Tagih Biasa","Selesai"))</f>
        <v>Tagih Biasa</v>
      </c>
    </row>
    <row r="45" spans="1:7" x14ac:dyDescent="0.3">
      <c r="A45" s="29" t="str">
        <f>Data_Penjualan!A45</f>
        <v>TRX-0044</v>
      </c>
      <c r="B45" s="29" t="str">
        <f>VLOOKUP(Data_Penjualan!E45,Master_Produk!$A$2:$F$11,2,FALSE())</f>
        <v>Laptop Asus Vivobook 14</v>
      </c>
      <c r="C45" s="33">
        <f>VLOOKUP(Data_Penjualan!E45,Master_Produk!$A$2:$F$11,4,FALSE())</f>
        <v>7200000</v>
      </c>
      <c r="D45" s="33">
        <f>Data_Penjualan!M45-Data_Penjualan!H45*C45</f>
        <v>900000</v>
      </c>
      <c r="E45" s="36">
        <f>IF(Data_Penjualan!C45="","Belum dikirim",DATEDIF(Data_Penjualan!B45,Data_Penjualan!C45,"d"))</f>
        <v>2</v>
      </c>
      <c r="F45" s="29" t="str">
        <f>IF(Data_Penjualan!M45&gt;=20000000,"Besar",IF(Data_Penjualan!M45&gt;=5000000,"Sedang","Kecil"))</f>
        <v>Sedang</v>
      </c>
      <c r="G45" s="29" t="str">
        <f>IF(AND(Data_Penjualan!K45&lt;&gt;"Lunas",Data_Penjualan!M45&gt;=10000000),"Prioritas Tagih",IF(Data_Penjualan!K45&lt;&gt;"Lunas","Tagih Biasa","Selesai"))</f>
        <v>Selesai</v>
      </c>
    </row>
    <row r="46" spans="1:7" x14ac:dyDescent="0.3">
      <c r="A46" s="29" t="str">
        <f>Data_Penjualan!A46</f>
        <v>TRX-0045</v>
      </c>
      <c r="B46" s="29" t="str">
        <f>VLOOKUP(Data_Penjualan!E46,Master_Produk!$A$2:$F$11,2,FALSE())</f>
        <v>Mouse Wireless Logitech</v>
      </c>
      <c r="C46" s="33">
        <f>VLOOKUP(Data_Penjualan!E46,Master_Produk!$A$2:$F$11,4,FALSE())</f>
        <v>160000</v>
      </c>
      <c r="D46" s="33">
        <f>Data_Penjualan!M46-Data_Penjualan!H46*C46</f>
        <v>1980000</v>
      </c>
      <c r="E46" s="36">
        <f>IF(Data_Penjualan!C46="","Belum dikirim",DATEDIF(Data_Penjualan!B46,Data_Penjualan!C46,"d"))</f>
        <v>2</v>
      </c>
      <c r="F46" s="29" t="str">
        <f>IF(Data_Penjualan!M46&gt;=20000000,"Besar",IF(Data_Penjualan!M46&gt;=5000000,"Sedang","Kecil"))</f>
        <v>Sedang</v>
      </c>
      <c r="G46" s="29" t="str">
        <f>IF(AND(Data_Penjualan!K46&lt;&gt;"Lunas",Data_Penjualan!M46&gt;=10000000),"Prioritas Tagih",IF(Data_Penjualan!K46&lt;&gt;"Lunas","Tagih Biasa","Selesai"))</f>
        <v>Selesai</v>
      </c>
    </row>
    <row r="47" spans="1:7" x14ac:dyDescent="0.3">
      <c r="A47" s="29" t="str">
        <f>Data_Penjualan!A47</f>
        <v>TRX-0046</v>
      </c>
      <c r="B47" s="29" t="str">
        <f>VLOOKUP(Data_Penjualan!E47,Master_Produk!$A$2:$F$11,2,FALSE())</f>
        <v>Meja Kerja Lipat</v>
      </c>
      <c r="C47" s="33">
        <f>VLOOKUP(Data_Penjualan!E47,Master_Produk!$A$2:$F$11,4,FALSE())</f>
        <v>600000</v>
      </c>
      <c r="D47" s="33">
        <f>Data_Penjualan!M47-Data_Penjualan!H47*C47</f>
        <v>1275000</v>
      </c>
      <c r="E47" s="36">
        <f>IF(Data_Penjualan!C47="","Belum dikirim",DATEDIF(Data_Penjualan!B47,Data_Penjualan!C47,"d"))</f>
        <v>6</v>
      </c>
      <c r="F47" s="29" t="str">
        <f>IF(Data_Penjualan!M47&gt;=20000000,"Besar",IF(Data_Penjualan!M47&gt;=5000000,"Sedang","Kecil"))</f>
        <v>Kecil</v>
      </c>
      <c r="G47" s="29" t="str">
        <f>IF(AND(Data_Penjualan!K47&lt;&gt;"Lunas",Data_Penjualan!M47&gt;=10000000),"Prioritas Tagih",IF(Data_Penjualan!K47&lt;&gt;"Lunas","Tagih Biasa","Selesai"))</f>
        <v>Tagih Biasa</v>
      </c>
    </row>
    <row r="48" spans="1:7" x14ac:dyDescent="0.3">
      <c r="A48" s="29" t="str">
        <f>Data_Penjualan!A48</f>
        <v>TRX-0047</v>
      </c>
      <c r="B48" s="29" t="str">
        <f>VLOOKUP(Data_Penjualan!E48,Master_Produk!$A$2:$F$11,2,FALSE())</f>
        <v>Monitor LG 24 inch</v>
      </c>
      <c r="C48" s="33">
        <f>VLOOKUP(Data_Penjualan!E48,Master_Produk!$A$2:$F$11,4,FALSE())</f>
        <v>1450000</v>
      </c>
      <c r="D48" s="33">
        <f>Data_Penjualan!M48-Data_Penjualan!H48*C48</f>
        <v>1560000</v>
      </c>
      <c r="E48" s="36">
        <f>IF(Data_Penjualan!C48="","Belum dikirim",DATEDIF(Data_Penjualan!B48,Data_Penjualan!C48,"d"))</f>
        <v>1</v>
      </c>
      <c r="F48" s="29" t="str">
        <f>IF(Data_Penjualan!M48&gt;=20000000,"Besar",IF(Data_Penjualan!M48&gt;=5000000,"Sedang","Kecil"))</f>
        <v>Sedang</v>
      </c>
      <c r="G48" s="29" t="str">
        <f>IF(AND(Data_Penjualan!K48&lt;&gt;"Lunas",Data_Penjualan!M48&gt;=10000000),"Prioritas Tagih",IF(Data_Penjualan!K48&lt;&gt;"Lunas","Tagih Biasa","Selesai"))</f>
        <v>Selesai</v>
      </c>
    </row>
    <row r="49" spans="1:7" x14ac:dyDescent="0.3">
      <c r="A49" s="29" t="str">
        <f>Data_Penjualan!A49</f>
        <v>TRX-0048</v>
      </c>
      <c r="B49" s="29" t="str">
        <f>VLOOKUP(Data_Penjualan!E49,Master_Produk!$A$2:$F$11,2,FALSE())</f>
        <v>Laptop Asus Vivobook 14</v>
      </c>
      <c r="C49" s="33">
        <f>VLOOKUP(Data_Penjualan!E49,Master_Produk!$A$2:$F$11,4,FALSE())</f>
        <v>7200000</v>
      </c>
      <c r="D49" s="33">
        <f>Data_Penjualan!M49-Data_Penjualan!H49*C49</f>
        <v>2600000</v>
      </c>
      <c r="E49" s="36">
        <f>IF(Data_Penjualan!C49="","Belum dikirim",DATEDIF(Data_Penjualan!B49,Data_Penjualan!C49,"d"))</f>
        <v>5</v>
      </c>
      <c r="F49" s="29" t="str">
        <f>IF(Data_Penjualan!M49&gt;=20000000,"Besar",IF(Data_Penjualan!M49&gt;=5000000,"Sedang","Kecil"))</f>
        <v>Sedang</v>
      </c>
      <c r="G49" s="29" t="str">
        <f>IF(AND(Data_Penjualan!K49&lt;&gt;"Lunas",Data_Penjualan!M49&gt;=10000000),"Prioritas Tagih",IF(Data_Penjualan!K49&lt;&gt;"Lunas","Tagih Biasa","Selesai"))</f>
        <v>Selesai</v>
      </c>
    </row>
    <row r="50" spans="1:7" x14ac:dyDescent="0.3">
      <c r="A50" s="29" t="str">
        <f>Data_Penjualan!A50</f>
        <v>TRX-0049</v>
      </c>
      <c r="B50" s="29" t="str">
        <f>VLOOKUP(Data_Penjualan!E50,Master_Produk!$A$2:$F$11,2,FALSE())</f>
        <v>Smartphone Samsung A15</v>
      </c>
      <c r="C50" s="33">
        <f>VLOOKUP(Data_Penjualan!E50,Master_Produk!$A$2:$F$11,4,FALSE())</f>
        <v>2700000</v>
      </c>
      <c r="D50" s="33">
        <f>Data_Penjualan!M50-Data_Penjualan!H50*C50</f>
        <v>340000</v>
      </c>
      <c r="E50" s="36">
        <f>IF(Data_Penjualan!C50="","Belum dikirim",DATEDIF(Data_Penjualan!B50,Data_Penjualan!C50,"d"))</f>
        <v>7</v>
      </c>
      <c r="F50" s="29" t="str">
        <f>IF(Data_Penjualan!M50&gt;=20000000,"Besar",IF(Data_Penjualan!M50&gt;=5000000,"Sedang","Kecil"))</f>
        <v>Kecil</v>
      </c>
      <c r="G50" s="29" t="str">
        <f>IF(AND(Data_Penjualan!K50&lt;&gt;"Lunas",Data_Penjualan!M50&gt;=10000000),"Prioritas Tagih",IF(Data_Penjualan!K50&lt;&gt;"Lunas","Tagih Biasa","Selesai"))</f>
        <v>Selesai</v>
      </c>
    </row>
    <row r="51" spans="1:7" x14ac:dyDescent="0.3">
      <c r="A51" s="29" t="str">
        <f>Data_Penjualan!A51</f>
        <v>TRX-0050</v>
      </c>
      <c r="B51" s="29" t="str">
        <f>VLOOKUP(Data_Penjualan!E51,Master_Produk!$A$2:$F$11,2,FALSE())</f>
        <v>Kertas A4 80gr (Rim)</v>
      </c>
      <c r="C51" s="33">
        <f>VLOOKUP(Data_Penjualan!E51,Master_Produk!$A$2:$F$11,4,FALSE())</f>
        <v>40000</v>
      </c>
      <c r="D51" s="33">
        <f>Data_Penjualan!M51-Data_Penjualan!H51*C51</f>
        <v>183750</v>
      </c>
      <c r="E51" s="36">
        <f>IF(Data_Penjualan!C51="","Belum dikirim",DATEDIF(Data_Penjualan!B51,Data_Penjualan!C51,"d"))</f>
        <v>5</v>
      </c>
      <c r="F51" s="29" t="str">
        <f>IF(Data_Penjualan!M51&gt;=20000000,"Besar",IF(Data_Penjualan!M51&gt;=5000000,"Sedang","Kecil"))</f>
        <v>Kecil</v>
      </c>
      <c r="G51" s="29" t="str">
        <f>IF(AND(Data_Penjualan!K51&lt;&gt;"Lunas",Data_Penjualan!M51&gt;=10000000),"Prioritas Tagih",IF(Data_Penjualan!K51&lt;&gt;"Lunas","Tagih Biasa","Selesai"))</f>
        <v>Selesai</v>
      </c>
    </row>
    <row r="52" spans="1:7" x14ac:dyDescent="0.3">
      <c r="A52" s="29" t="str">
        <f>Data_Penjualan!A52</f>
        <v>TRX-0051</v>
      </c>
      <c r="B52" s="29" t="str">
        <f>VLOOKUP(Data_Penjualan!E52,Master_Produk!$A$2:$F$11,2,FALSE())</f>
        <v>Smartphone Samsung A15</v>
      </c>
      <c r="C52" s="33">
        <f>VLOOKUP(Data_Penjualan!E52,Master_Produk!$A$2:$F$11,4,FALSE())</f>
        <v>2700000</v>
      </c>
      <c r="D52" s="33">
        <f>Data_Penjualan!M52-Data_Penjualan!H52*C52</f>
        <v>540000</v>
      </c>
      <c r="E52" s="36">
        <f>IF(Data_Penjualan!C52="","Belum dikirim",DATEDIF(Data_Penjualan!B52,Data_Penjualan!C52,"d"))</f>
        <v>5</v>
      </c>
      <c r="F52" s="29" t="str">
        <f>IF(Data_Penjualan!M52&gt;=20000000,"Besar",IF(Data_Penjualan!M52&gt;=5000000,"Sedang","Kecil"))</f>
        <v>Sedang</v>
      </c>
      <c r="G52" s="29" t="str">
        <f>IF(AND(Data_Penjualan!K52&lt;&gt;"Lunas",Data_Penjualan!M52&gt;=10000000),"Prioritas Tagih",IF(Data_Penjualan!K52&lt;&gt;"Lunas","Tagih Biasa","Selesai"))</f>
        <v>Selesai</v>
      </c>
    </row>
    <row r="53" spans="1:7" x14ac:dyDescent="0.3">
      <c r="A53" s="29" t="str">
        <f>Data_Penjualan!A53</f>
        <v>TRX-0052</v>
      </c>
      <c r="B53" s="29" t="str">
        <f>VLOOKUP(Data_Penjualan!E53,Master_Produk!$A$2:$F$11,2,FALSE())</f>
        <v>Kertas A4 80gr (Rim)</v>
      </c>
      <c r="C53" s="33">
        <f>VLOOKUP(Data_Penjualan!E53,Master_Produk!$A$2:$F$11,4,FALSE())</f>
        <v>40000</v>
      </c>
      <c r="D53" s="33">
        <f>Data_Penjualan!M53-Data_Penjualan!H53*C53</f>
        <v>510000</v>
      </c>
      <c r="E53" s="36">
        <f>IF(Data_Penjualan!C53="","Belum dikirim",DATEDIF(Data_Penjualan!B53,Data_Penjualan!C53,"d"))</f>
        <v>3</v>
      </c>
      <c r="F53" s="29" t="str">
        <f>IF(Data_Penjualan!M53&gt;=20000000,"Besar",IF(Data_Penjualan!M53&gt;=5000000,"Sedang","Kecil"))</f>
        <v>Kecil</v>
      </c>
      <c r="G53" s="29" t="str">
        <f>IF(AND(Data_Penjualan!K53&lt;&gt;"Lunas",Data_Penjualan!M53&gt;=10000000),"Prioritas Tagih",IF(Data_Penjualan!K53&lt;&gt;"Lunas","Tagih Biasa","Selesai"))</f>
        <v>Tagih Biasa</v>
      </c>
    </row>
    <row r="54" spans="1:7" x14ac:dyDescent="0.3">
      <c r="A54" s="29" t="str">
        <f>Data_Penjualan!A54</f>
        <v>TRX-0053</v>
      </c>
      <c r="B54" s="29" t="str">
        <f>VLOOKUP(Data_Penjualan!E54,Master_Produk!$A$2:$F$11,2,FALSE())</f>
        <v>Monitor LG 24 inch</v>
      </c>
      <c r="C54" s="33">
        <f>VLOOKUP(Data_Penjualan!E54,Master_Produk!$A$2:$F$11,4,FALSE())</f>
        <v>1450000</v>
      </c>
      <c r="D54" s="33">
        <f>Data_Penjualan!M54-Data_Penjualan!H54*C54</f>
        <v>1400000</v>
      </c>
      <c r="E54" s="36">
        <f>IF(Data_Penjualan!C54="","Belum dikirim",DATEDIF(Data_Penjualan!B54,Data_Penjualan!C54,"d"))</f>
        <v>6</v>
      </c>
      <c r="F54" s="29" t="str">
        <f>IF(Data_Penjualan!M54&gt;=20000000,"Besar",IF(Data_Penjualan!M54&gt;=5000000,"Sedang","Kecil"))</f>
        <v>Sedang</v>
      </c>
      <c r="G54" s="29" t="str">
        <f>IF(AND(Data_Penjualan!K54&lt;&gt;"Lunas",Data_Penjualan!M54&gt;=10000000),"Prioritas Tagih",IF(Data_Penjualan!K54&lt;&gt;"Lunas","Tagih Biasa","Selesai"))</f>
        <v>Tagih Biasa</v>
      </c>
    </row>
    <row r="55" spans="1:7" x14ac:dyDescent="0.3">
      <c r="A55" s="29" t="str">
        <f>Data_Penjualan!A55</f>
        <v>TRX-0054</v>
      </c>
      <c r="B55" s="29" t="str">
        <f>VLOOKUP(Data_Penjualan!E55,Master_Produk!$A$2:$F$11,2,FALSE())</f>
        <v>Kursi Ergonomis Indachi</v>
      </c>
      <c r="C55" s="33">
        <f>VLOOKUP(Data_Penjualan!E55,Master_Produk!$A$2:$F$11,4,FALSE())</f>
        <v>1000000</v>
      </c>
      <c r="D55" s="33">
        <f>Data_Penjualan!M55-Data_Penjualan!H55*C55</f>
        <v>2550000</v>
      </c>
      <c r="E55" s="36">
        <f>IF(Data_Penjualan!C55="","Belum dikirim",DATEDIF(Data_Penjualan!B55,Data_Penjualan!C55,"d"))</f>
        <v>5</v>
      </c>
      <c r="F55" s="29" t="str">
        <f>IF(Data_Penjualan!M55&gt;=20000000,"Besar",IF(Data_Penjualan!M55&gt;=5000000,"Sedang","Kecil"))</f>
        <v>Sedang</v>
      </c>
      <c r="G55" s="29" t="str">
        <f>IF(AND(Data_Penjualan!K55&lt;&gt;"Lunas",Data_Penjualan!M55&gt;=10000000),"Prioritas Tagih",IF(Data_Penjualan!K55&lt;&gt;"Lunas","Tagih Biasa","Selesai"))</f>
        <v>Selesai</v>
      </c>
    </row>
    <row r="56" spans="1:7" x14ac:dyDescent="0.3">
      <c r="A56" s="29" t="str">
        <f>Data_Penjualan!A56</f>
        <v>TRX-0055</v>
      </c>
      <c r="B56" s="29" t="str">
        <f>VLOOKUP(Data_Penjualan!E56,Master_Produk!$A$2:$F$11,2,FALSE())</f>
        <v>Printer Epson L3210</v>
      </c>
      <c r="C56" s="33">
        <f>VLOOKUP(Data_Penjualan!E56,Master_Produk!$A$2:$F$11,4,FALSE())</f>
        <v>1950000</v>
      </c>
      <c r="D56" s="33">
        <f>Data_Penjualan!M56-Data_Penjualan!H56*C56</f>
        <v>900000</v>
      </c>
      <c r="E56" s="36">
        <f>IF(Data_Penjualan!C56="","Belum dikirim",DATEDIF(Data_Penjualan!B56,Data_Penjualan!C56,"d"))</f>
        <v>1</v>
      </c>
      <c r="F56" s="29" t="str">
        <f>IF(Data_Penjualan!M56&gt;=20000000,"Besar",IF(Data_Penjualan!M56&gt;=5000000,"Sedang","Kecil"))</f>
        <v>Kecil</v>
      </c>
      <c r="G56" s="29" t="str">
        <f>IF(AND(Data_Penjualan!K56&lt;&gt;"Lunas",Data_Penjualan!M56&gt;=10000000),"Prioritas Tagih",IF(Data_Penjualan!K56&lt;&gt;"Lunas","Tagih Biasa","Selesai"))</f>
        <v>Selesai</v>
      </c>
    </row>
    <row r="57" spans="1:7" x14ac:dyDescent="0.3">
      <c r="A57" s="29" t="str">
        <f>Data_Penjualan!A57</f>
        <v>TRX-0056</v>
      </c>
      <c r="B57" s="29" t="str">
        <f>VLOOKUP(Data_Penjualan!E57,Master_Produk!$A$2:$F$11,2,FALSE())</f>
        <v>Smartphone Samsung A15</v>
      </c>
      <c r="C57" s="33">
        <f>VLOOKUP(Data_Penjualan!E57,Master_Produk!$A$2:$F$11,4,FALSE())</f>
        <v>2700000</v>
      </c>
      <c r="D57" s="33">
        <f>Data_Penjualan!M57-Data_Penjualan!H57*C57</f>
        <v>3000000</v>
      </c>
      <c r="E57" s="36">
        <f>IF(Data_Penjualan!C57="","Belum dikirim",DATEDIF(Data_Penjualan!B57,Data_Penjualan!C57,"d"))</f>
        <v>2</v>
      </c>
      <c r="F57" s="29" t="str">
        <f>IF(Data_Penjualan!M57&gt;=20000000,"Besar",IF(Data_Penjualan!M57&gt;=5000000,"Sedang","Kecil"))</f>
        <v>Sedang</v>
      </c>
      <c r="G57" s="29" t="str">
        <f>IF(AND(Data_Penjualan!K57&lt;&gt;"Lunas",Data_Penjualan!M57&gt;=10000000),"Prioritas Tagih",IF(Data_Penjualan!K57&lt;&gt;"Lunas","Tagih Biasa","Selesai"))</f>
        <v>Selesai</v>
      </c>
    </row>
    <row r="58" spans="1:7" x14ac:dyDescent="0.3">
      <c r="A58" s="29" t="str">
        <f>Data_Penjualan!A58</f>
        <v>TRX-0057</v>
      </c>
      <c r="B58" s="29" t="str">
        <f>VLOOKUP(Data_Penjualan!E58,Master_Produk!$A$2:$F$11,2,FALSE())</f>
        <v>Monitor LG 24 inch</v>
      </c>
      <c r="C58" s="33">
        <f>VLOOKUP(Data_Penjualan!E58,Master_Produk!$A$2:$F$11,4,FALSE())</f>
        <v>1450000</v>
      </c>
      <c r="D58" s="33">
        <f>Data_Penjualan!M58-Data_Penjualan!H58*C58</f>
        <v>350000</v>
      </c>
      <c r="E58" s="36" t="str">
        <f>IF(Data_Penjualan!C58="","Belum dikirim",DATEDIF(Data_Penjualan!B58,Data_Penjualan!C58,"d"))</f>
        <v>Belum dikirim</v>
      </c>
      <c r="F58" s="29" t="str">
        <f>IF(Data_Penjualan!M58&gt;=20000000,"Besar",IF(Data_Penjualan!M58&gt;=5000000,"Sedang","Kecil"))</f>
        <v>Kecil</v>
      </c>
      <c r="G58" s="29" t="str">
        <f>IF(AND(Data_Penjualan!K58&lt;&gt;"Lunas",Data_Penjualan!M58&gt;=10000000),"Prioritas Tagih",IF(Data_Penjualan!K58&lt;&gt;"Lunas","Tagih Biasa","Selesai"))</f>
        <v>Selesai</v>
      </c>
    </row>
    <row r="59" spans="1:7" x14ac:dyDescent="0.3">
      <c r="A59" s="29" t="str">
        <f>Data_Penjualan!A59</f>
        <v>TRX-0058</v>
      </c>
      <c r="B59" s="29" t="str">
        <f>VLOOKUP(Data_Penjualan!E59,Master_Produk!$A$2:$F$11,2,FALSE())</f>
        <v>Keyboard Mekanik Rexus</v>
      </c>
      <c r="C59" s="33">
        <f>VLOOKUP(Data_Penjualan!E59,Master_Produk!$A$2:$F$11,4,FALSE())</f>
        <v>450000</v>
      </c>
      <c r="D59" s="33">
        <f>Data_Penjualan!M59-Data_Penjualan!H59*C59</f>
        <v>2200000</v>
      </c>
      <c r="E59" s="36" t="str">
        <f>IF(Data_Penjualan!C59="","Belum dikirim",DATEDIF(Data_Penjualan!B59,Data_Penjualan!C59,"d"))</f>
        <v>Belum dikirim</v>
      </c>
      <c r="F59" s="29" t="str">
        <f>IF(Data_Penjualan!M59&gt;=20000000,"Besar",IF(Data_Penjualan!M59&gt;=5000000,"Sedang","Kecil"))</f>
        <v>Sedang</v>
      </c>
      <c r="G59" s="29" t="str">
        <f>IF(AND(Data_Penjualan!K59&lt;&gt;"Lunas",Data_Penjualan!M59&gt;=10000000),"Prioritas Tagih",IF(Data_Penjualan!K59&lt;&gt;"Lunas","Tagih Biasa","Selesai"))</f>
        <v>Tagih Biasa</v>
      </c>
    </row>
    <row r="60" spans="1:7" x14ac:dyDescent="0.3">
      <c r="A60" s="29" t="str">
        <f>Data_Penjualan!A60</f>
        <v>TRX-0059</v>
      </c>
      <c r="B60" s="29" t="str">
        <f>VLOOKUP(Data_Penjualan!E60,Master_Produk!$A$2:$F$11,2,FALSE())</f>
        <v>Printer Epson L3210</v>
      </c>
      <c r="C60" s="33">
        <f>VLOOKUP(Data_Penjualan!E60,Master_Produk!$A$2:$F$11,4,FALSE())</f>
        <v>1950000</v>
      </c>
      <c r="D60" s="33">
        <f>Data_Penjualan!M60-Data_Penjualan!H60*C60</f>
        <v>900000</v>
      </c>
      <c r="E60" s="36" t="str">
        <f>IF(Data_Penjualan!C60="","Belum dikirim",DATEDIF(Data_Penjualan!B60,Data_Penjualan!C60,"d"))</f>
        <v>Belum dikirim</v>
      </c>
      <c r="F60" s="29" t="str">
        <f>IF(Data_Penjualan!M60&gt;=20000000,"Besar",IF(Data_Penjualan!M60&gt;=5000000,"Sedang","Kecil"))</f>
        <v>Kecil</v>
      </c>
      <c r="G60" s="29" t="str">
        <f>IF(AND(Data_Penjualan!K60&lt;&gt;"Lunas",Data_Penjualan!M60&gt;=10000000),"Prioritas Tagih",IF(Data_Penjualan!K60&lt;&gt;"Lunas","Tagih Biasa","Selesai"))</f>
        <v>Tagih Biasa</v>
      </c>
    </row>
    <row r="61" spans="1:7" x14ac:dyDescent="0.3">
      <c r="A61" s="29" t="str">
        <f>Data_Penjualan!A61</f>
        <v>TRX-0060</v>
      </c>
      <c r="B61" s="29" t="str">
        <f>VLOOKUP(Data_Penjualan!E61,Master_Produk!$A$2:$F$11,2,FALSE())</f>
        <v>Smartphone Samsung A15</v>
      </c>
      <c r="C61" s="33">
        <f>VLOOKUP(Data_Penjualan!E61,Master_Produk!$A$2:$F$11,4,FALSE())</f>
        <v>2700000</v>
      </c>
      <c r="D61" s="33">
        <f>Data_Penjualan!M61-Data_Penjualan!H61*C61</f>
        <v>680000</v>
      </c>
      <c r="E61" s="36" t="str">
        <f>IF(Data_Penjualan!C61="","Belum dikirim",DATEDIF(Data_Penjualan!B61,Data_Penjualan!C61,"d"))</f>
        <v>Belum dikirim</v>
      </c>
      <c r="F61" s="29" t="str">
        <f>IF(Data_Penjualan!M61&gt;=20000000,"Besar",IF(Data_Penjualan!M61&gt;=5000000,"Sedang","Kecil"))</f>
        <v>Sedang</v>
      </c>
      <c r="G61" s="29" t="str">
        <f>IF(AND(Data_Penjualan!K61&lt;&gt;"Lunas",Data_Penjualan!M61&gt;=10000000),"Prioritas Tagih",IF(Data_Penjualan!K61&lt;&gt;"Lunas","Tagih Biasa","Selesai"))</f>
        <v>Tagih Biasa</v>
      </c>
    </row>
  </sheetData>
  <pageMargins left="0.75" right="0.75" top="1" bottom="1" header="0.511811023622047" footer="0.511811023622047"/>
  <pageSetup fitToHeight="0" orientation="landscape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C00000"/>
    <pageSetUpPr fitToPage="1"/>
  </sheetPr>
  <dimension ref="A1:M21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6640625" defaultRowHeight="14.4" x14ac:dyDescent="0.3"/>
  <cols>
    <col min="1" max="1" width="13" customWidth="1"/>
    <col min="2" max="2" width="20" customWidth="1"/>
    <col min="3" max="3" width="24" customWidth="1"/>
    <col min="4" max="4" width="34" customWidth="1"/>
    <col min="5" max="5" width="8" customWidth="1"/>
    <col min="6" max="6" width="18" customWidth="1"/>
    <col min="7" max="9" width="16" customWidth="1"/>
    <col min="10" max="10" width="12" customWidth="1"/>
    <col min="11" max="11" width="14" customWidth="1"/>
    <col min="12" max="12" width="3" customWidth="1"/>
    <col min="13" max="13" width="55" customWidth="1"/>
  </cols>
  <sheetData>
    <row r="1" spans="1:13" ht="30" customHeight="1" x14ac:dyDescent="0.3">
      <c r="A1" s="17" t="s">
        <v>374</v>
      </c>
      <c r="B1" s="17" t="s">
        <v>384</v>
      </c>
      <c r="C1" s="17" t="s">
        <v>385</v>
      </c>
      <c r="D1" s="17" t="s">
        <v>386</v>
      </c>
      <c r="E1" s="17" t="s">
        <v>387</v>
      </c>
      <c r="F1" s="17" t="s">
        <v>388</v>
      </c>
      <c r="G1" s="17" t="s">
        <v>389</v>
      </c>
      <c r="H1" s="17" t="s">
        <v>390</v>
      </c>
      <c r="I1" s="17" t="s">
        <v>391</v>
      </c>
      <c r="J1" s="17" t="s">
        <v>392</v>
      </c>
      <c r="K1" s="17" t="s">
        <v>393</v>
      </c>
      <c r="M1" s="12" t="s">
        <v>767</v>
      </c>
    </row>
    <row r="2" spans="1:13" x14ac:dyDescent="0.3">
      <c r="A2" s="29" t="str">
        <f>Data_Karyawan!A2</f>
        <v>EMP-001</v>
      </c>
      <c r="B2" s="29" t="str">
        <f>_xlfn.CONCAT(PROPER(TRIM(Data_Karyawan!B2))," ",PROPER(TRIM(Data_Karyawan!C2)))</f>
        <v>Budi Santoso</v>
      </c>
      <c r="C2" s="29" t="str">
        <f>PROPER(TRIM(Data_Karyawan!D2))</f>
        <v>Sales Executive</v>
      </c>
      <c r="D2" s="29" t="str">
        <f>LOWER(TRIM(Data_Karyawan!I2))</f>
        <v>budi.santoso@perusahaan.co.id</v>
      </c>
      <c r="E2" s="36">
        <f>DATEDIF(Data_Karyawan!F2,Data_Karyawan!$V$2,"y")</f>
        <v>34</v>
      </c>
      <c r="F2" s="29" t="str">
        <f>DATEDIF(Data_Karyawan!G2,Data_Karyawan!$V$2,"y")&amp;" tahun "&amp;DATEDIF(Data_Karyawan!G2,Data_Karyawan!$V$2,"ym")&amp;" bulan"</f>
        <v>7 tahun 3 bulan</v>
      </c>
      <c r="G2" s="29" t="str">
        <f>SUBSTITUTE(Data_Karyawan!H2,"-","")</f>
        <v>081234567801</v>
      </c>
      <c r="H2" s="29" t="str">
        <f>REPLACE(SUBSTITUTE(Data_Karyawan!H2,"-",""),1,1,"+62")</f>
        <v>+6281234567801</v>
      </c>
      <c r="I2" s="29" t="str">
        <f>REPLACE(SUBSTITUTE(Data_Karyawan!H2,"-",""),5,4,"****")</f>
        <v>0812****7801</v>
      </c>
      <c r="J2" s="29" t="str">
        <f>_xlfn.CONCAT(UPPER(LEFT(Data_Karyawan!E2,3)),"-",RIGHT(Data_Karyawan!A2,3))</f>
        <v>SAL-001</v>
      </c>
      <c r="K2" s="29" t="str">
        <f>LOWER(_xlfn.CONCAT(LEFT(TRIM(Data_Karyawan!B2),1),TRIM(Data_Karyawan!C2)))</f>
        <v>bsantoso</v>
      </c>
    </row>
    <row r="3" spans="1:13" x14ac:dyDescent="0.3">
      <c r="A3" s="29" t="str">
        <f>Data_Karyawan!A3</f>
        <v>EMP-002</v>
      </c>
      <c r="B3" s="29" t="str">
        <f>_xlfn.CONCAT(PROPER(TRIM(Data_Karyawan!B3))," ",PROPER(TRIM(Data_Karyawan!C3)))</f>
        <v>Siti Rahmawati</v>
      </c>
      <c r="C3" s="29" t="str">
        <f>PROPER(TRIM(Data_Karyawan!D3))</f>
        <v>Finance Analyst</v>
      </c>
      <c r="D3" s="29" t="str">
        <f>LOWER(TRIM(Data_Karyawan!I3))</f>
        <v>siti.rahmawati@perusahaan.co.id</v>
      </c>
      <c r="E3" s="36">
        <f>DATEDIF(Data_Karyawan!F3,Data_Karyawan!$V$2,"y")</f>
        <v>35</v>
      </c>
      <c r="F3" s="29" t="str">
        <f>DATEDIF(Data_Karyawan!G3,Data_Karyawan!$V$2,"y")&amp;" tahun "&amp;DATEDIF(Data_Karyawan!G3,Data_Karyawan!$V$2,"ym")&amp;" bulan"</f>
        <v>9 tahun 8 bulan</v>
      </c>
      <c r="G3" s="29" t="str">
        <f>SUBSTITUTE(Data_Karyawan!H3,"-","")</f>
        <v>081355510002</v>
      </c>
      <c r="H3" s="29" t="str">
        <f>REPLACE(SUBSTITUTE(Data_Karyawan!H3,"-",""),1,1,"+62")</f>
        <v>+6281355510002</v>
      </c>
      <c r="I3" s="29" t="str">
        <f>REPLACE(SUBSTITUTE(Data_Karyawan!H3,"-",""),5,4,"****")</f>
        <v>0813****0002</v>
      </c>
      <c r="J3" s="29" t="str">
        <f>_xlfn.CONCAT(UPPER(LEFT(Data_Karyawan!E3,3)),"-",RIGHT(Data_Karyawan!A3,3))</f>
        <v>FIN-002</v>
      </c>
      <c r="K3" s="29" t="str">
        <f>LOWER(_xlfn.CONCAT(LEFT(TRIM(Data_Karyawan!B3),1),TRIM(Data_Karyawan!C3)))</f>
        <v>srahmawati</v>
      </c>
    </row>
    <row r="4" spans="1:13" x14ac:dyDescent="0.3">
      <c r="A4" s="29" t="str">
        <f>Data_Karyawan!A4</f>
        <v>EMP-003</v>
      </c>
      <c r="B4" s="29" t="str">
        <f>_xlfn.CONCAT(PROPER(TRIM(Data_Karyawan!B4))," ",PROPER(TRIM(Data_Karyawan!C4)))</f>
        <v>Andi Pratama</v>
      </c>
      <c r="C4" s="29" t="str">
        <f>PROPER(TRIM(Data_Karyawan!D4))</f>
        <v>Data Analyst</v>
      </c>
      <c r="D4" s="29" t="str">
        <f>LOWER(TRIM(Data_Karyawan!I4))</f>
        <v>andi.pratama@perusahaan.co.id</v>
      </c>
      <c r="E4" s="36">
        <f>DATEDIF(Data_Karyawan!F4,Data_Karyawan!$V$2,"y")</f>
        <v>31</v>
      </c>
      <c r="F4" s="29" t="str">
        <f>DATEDIF(Data_Karyawan!G4,Data_Karyawan!$V$2,"y")&amp;" tahun "&amp;DATEDIF(Data_Karyawan!G4,Data_Karyawan!$V$2,"ym")&amp;" bulan"</f>
        <v>5 tahun 9 bulan</v>
      </c>
      <c r="G4" s="29" t="str">
        <f>SUBSTITUTE(Data_Karyawan!H4,"-","")</f>
        <v>082144020003</v>
      </c>
      <c r="H4" s="29" t="str">
        <f>REPLACE(SUBSTITUTE(Data_Karyawan!H4,"-",""),1,1,"+62")</f>
        <v>+6282144020003</v>
      </c>
      <c r="I4" s="29" t="str">
        <f>REPLACE(SUBSTITUTE(Data_Karyawan!H4,"-",""),5,4,"****")</f>
        <v>0821****0003</v>
      </c>
      <c r="J4" s="29" t="str">
        <f>_xlfn.CONCAT(UPPER(LEFT(Data_Karyawan!E4,3)),"-",RIGHT(Data_Karyawan!A4,3))</f>
        <v>IT-003</v>
      </c>
      <c r="K4" s="29" t="str">
        <f>LOWER(_xlfn.CONCAT(LEFT(TRIM(Data_Karyawan!B4),1),TRIM(Data_Karyawan!C4)))</f>
        <v>apratama</v>
      </c>
    </row>
    <row r="5" spans="1:13" x14ac:dyDescent="0.3">
      <c r="A5" s="29" t="str">
        <f>Data_Karyawan!A5</f>
        <v>EMP-004</v>
      </c>
      <c r="B5" s="29" t="str">
        <f>_xlfn.CONCAT(PROPER(TRIM(Data_Karyawan!B5))," ",PROPER(TRIM(Data_Karyawan!C5)))</f>
        <v>Dewi Lestari</v>
      </c>
      <c r="C5" s="29" t="str">
        <f>PROPER(TRIM(Data_Karyawan!D5))</f>
        <v>Hr Officer</v>
      </c>
      <c r="D5" s="29" t="str">
        <f>LOWER(TRIM(Data_Karyawan!I5))</f>
        <v>dewi.lestari@perusahaan.co.id</v>
      </c>
      <c r="E5" s="36">
        <f>DATEDIF(Data_Karyawan!F5,Data_Karyawan!$V$2,"y")</f>
        <v>33</v>
      </c>
      <c r="F5" s="29" t="str">
        <f>DATEDIF(Data_Karyawan!G5,Data_Karyawan!$V$2,"y")&amp;" tahun "&amp;DATEDIF(Data_Karyawan!G5,Data_Karyawan!$V$2,"ym")&amp;" bulan"</f>
        <v>8 tahun 5 bulan</v>
      </c>
      <c r="G5" s="29" t="str">
        <f>SUBSTITUTE(Data_Karyawan!H5,"-","")</f>
        <v>085712030004</v>
      </c>
      <c r="H5" s="29" t="str">
        <f>REPLACE(SUBSTITUTE(Data_Karyawan!H5,"-",""),1,1,"+62")</f>
        <v>+6285712030004</v>
      </c>
      <c r="I5" s="29" t="str">
        <f>REPLACE(SUBSTITUTE(Data_Karyawan!H5,"-",""),5,4,"****")</f>
        <v>0857****0004</v>
      </c>
      <c r="J5" s="29" t="str">
        <f>_xlfn.CONCAT(UPPER(LEFT(Data_Karyawan!E5,3)),"-",RIGHT(Data_Karyawan!A5,3))</f>
        <v>HR-004</v>
      </c>
      <c r="K5" s="29" t="str">
        <f>LOWER(_xlfn.CONCAT(LEFT(TRIM(Data_Karyawan!B5),1),TRIM(Data_Karyawan!C5)))</f>
        <v>dlestari</v>
      </c>
    </row>
    <row r="6" spans="1:13" x14ac:dyDescent="0.3">
      <c r="A6" s="29" t="str">
        <f>Data_Karyawan!A6</f>
        <v>EMP-005</v>
      </c>
      <c r="B6" s="29" t="str">
        <f>_xlfn.CONCAT(PROPER(TRIM(Data_Karyawan!B6))," ",PROPER(TRIM(Data_Karyawan!C6)))</f>
        <v>Rina Wulandari</v>
      </c>
      <c r="C6" s="29" t="str">
        <f>PROPER(TRIM(Data_Karyawan!D6))</f>
        <v>Marketing Specialist</v>
      </c>
      <c r="D6" s="29" t="str">
        <f>LOWER(TRIM(Data_Karyawan!I6))</f>
        <v>rina.wulandari@perusahaan.co.id</v>
      </c>
      <c r="E6" s="36">
        <f>DATEDIF(Data_Karyawan!F6,Data_Karyawan!$V$2,"y")</f>
        <v>30</v>
      </c>
      <c r="F6" s="29" t="str">
        <f>DATEDIF(Data_Karyawan!G6,Data_Karyawan!$V$2,"y")&amp;" tahun "&amp;DATEDIF(Data_Karyawan!G6,Data_Karyawan!$V$2,"ym")&amp;" bulan"</f>
        <v>4 tahun 2 bulan</v>
      </c>
      <c r="G6" s="29" t="str">
        <f>SUBSTITUTE(Data_Karyawan!H6,"-","")</f>
        <v>087899010005</v>
      </c>
      <c r="H6" s="29" t="str">
        <f>REPLACE(SUBSTITUTE(Data_Karyawan!H6,"-",""),1,1,"+62")</f>
        <v>+6287899010005</v>
      </c>
      <c r="I6" s="29" t="str">
        <f>REPLACE(SUBSTITUTE(Data_Karyawan!H6,"-",""),5,4,"****")</f>
        <v>0878****0005</v>
      </c>
      <c r="J6" s="29" t="str">
        <f>_xlfn.CONCAT(UPPER(LEFT(Data_Karyawan!E6,3)),"-",RIGHT(Data_Karyawan!A6,3))</f>
        <v>MAR-005</v>
      </c>
      <c r="K6" s="29" t="str">
        <f>LOWER(_xlfn.CONCAT(LEFT(TRIM(Data_Karyawan!B6),1),TRIM(Data_Karyawan!C6)))</f>
        <v>rwulandari</v>
      </c>
    </row>
    <row r="7" spans="1:13" x14ac:dyDescent="0.3">
      <c r="A7" s="29" t="str">
        <f>Data_Karyawan!A7</f>
        <v>EMP-006</v>
      </c>
      <c r="B7" s="29" t="str">
        <f>_xlfn.CONCAT(PROPER(TRIM(Data_Karyawan!B7))," ",PROPER(TRIM(Data_Karyawan!C7)))</f>
        <v>Agus Setiawan</v>
      </c>
      <c r="C7" s="29" t="str">
        <f>PROPER(TRIM(Data_Karyawan!D7))</f>
        <v>Sales Executive</v>
      </c>
      <c r="D7" s="29" t="str">
        <f>LOWER(TRIM(Data_Karyawan!I7))</f>
        <v>agus.setiawan@perusahaan.co.id</v>
      </c>
      <c r="E7" s="36">
        <f>DATEDIF(Data_Karyawan!F7,Data_Karyawan!$V$2,"y")</f>
        <v>36</v>
      </c>
      <c r="F7" s="29" t="str">
        <f>DATEDIF(Data_Karyawan!G7,Data_Karyawan!$V$2,"y")&amp;" tahun "&amp;DATEDIF(Data_Karyawan!G7,Data_Karyawan!$V$2,"ym")&amp;" bulan"</f>
        <v>10 tahun 7 bulan</v>
      </c>
      <c r="G7" s="29" t="str">
        <f>SUBSTITUTE(Data_Karyawan!H7,"-","")</f>
        <v>081122330006</v>
      </c>
      <c r="H7" s="29" t="str">
        <f>REPLACE(SUBSTITUTE(Data_Karyawan!H7,"-",""),1,1,"+62")</f>
        <v>+6281122330006</v>
      </c>
      <c r="I7" s="29" t="str">
        <f>REPLACE(SUBSTITUTE(Data_Karyawan!H7,"-",""),5,4,"****")</f>
        <v>0811****0006</v>
      </c>
      <c r="J7" s="29" t="str">
        <f>_xlfn.CONCAT(UPPER(LEFT(Data_Karyawan!E7,3)),"-",RIGHT(Data_Karyawan!A7,3))</f>
        <v>SAL-006</v>
      </c>
      <c r="K7" s="29" t="str">
        <f>LOWER(_xlfn.CONCAT(LEFT(TRIM(Data_Karyawan!B7),1),TRIM(Data_Karyawan!C7)))</f>
        <v>asetiawan</v>
      </c>
    </row>
    <row r="8" spans="1:13" x14ac:dyDescent="0.3">
      <c r="A8" s="29" t="str">
        <f>Data_Karyawan!A8</f>
        <v>EMP-007</v>
      </c>
      <c r="B8" s="29" t="str">
        <f>_xlfn.CONCAT(PROPER(TRIM(Data_Karyawan!B8))," ",PROPER(TRIM(Data_Karyawan!C8)))</f>
        <v>Putri Anggraini</v>
      </c>
      <c r="C8" s="29" t="str">
        <f>PROPER(TRIM(Data_Karyawan!D8))</f>
        <v>Accounting Staff</v>
      </c>
      <c r="D8" s="29" t="str">
        <f>LOWER(TRIM(Data_Karyawan!I8))</f>
        <v>putri.anggraini@perusahaan.co.id</v>
      </c>
      <c r="E8" s="36">
        <f>DATEDIF(Data_Karyawan!F8,Data_Karyawan!$V$2,"y")</f>
        <v>28</v>
      </c>
      <c r="F8" s="29" t="str">
        <f>DATEDIF(Data_Karyawan!G8,Data_Karyawan!$V$2,"y")&amp;" tahun "&amp;DATEDIF(Data_Karyawan!G8,Data_Karyawan!$V$2,"ym")&amp;" bulan"</f>
        <v>3 tahun 8 bulan</v>
      </c>
      <c r="G8" s="29" t="str">
        <f>SUBSTITUTE(Data_Karyawan!H8,"-","")</f>
        <v>085277880007</v>
      </c>
      <c r="H8" s="29" t="str">
        <f>REPLACE(SUBSTITUTE(Data_Karyawan!H8,"-",""),1,1,"+62")</f>
        <v>+6285277880007</v>
      </c>
      <c r="I8" s="29" t="str">
        <f>REPLACE(SUBSTITUTE(Data_Karyawan!H8,"-",""),5,4,"****")</f>
        <v>0852****0007</v>
      </c>
      <c r="J8" s="29" t="str">
        <f>_xlfn.CONCAT(UPPER(LEFT(Data_Karyawan!E8,3)),"-",RIGHT(Data_Karyawan!A8,3))</f>
        <v>FIN-007</v>
      </c>
      <c r="K8" s="29" t="str">
        <f>LOWER(_xlfn.CONCAT(LEFT(TRIM(Data_Karyawan!B8),1),TRIM(Data_Karyawan!C8)))</f>
        <v>panggraini</v>
      </c>
    </row>
    <row r="9" spans="1:13" x14ac:dyDescent="0.3">
      <c r="A9" s="29" t="str">
        <f>Data_Karyawan!A9</f>
        <v>EMP-008</v>
      </c>
      <c r="B9" s="29" t="str">
        <f>_xlfn.CONCAT(PROPER(TRIM(Data_Karyawan!B9))," ",PROPER(TRIM(Data_Karyawan!C9)))</f>
        <v>Eko Prasetyo</v>
      </c>
      <c r="C9" s="29" t="str">
        <f>PROPER(TRIM(Data_Karyawan!D9))</f>
        <v>It Support</v>
      </c>
      <c r="D9" s="29" t="str">
        <f>LOWER(TRIM(Data_Karyawan!I9))</f>
        <v>eko.prasetyo@perusahaan.co.id</v>
      </c>
      <c r="E9" s="36">
        <f>DATEDIF(Data_Karyawan!F9,Data_Karyawan!$V$2,"y")</f>
        <v>35</v>
      </c>
      <c r="F9" s="29" t="str">
        <f>DATEDIF(Data_Karyawan!G9,Data_Karyawan!$V$2,"y")&amp;" tahun "&amp;DATEDIF(Data_Karyawan!G9,Data_Karyawan!$V$2,"ym")&amp;" bulan"</f>
        <v>11 tahun 0 bulan</v>
      </c>
      <c r="G9" s="29" t="str">
        <f>SUBSTITUTE(Data_Karyawan!H9,"-","")</f>
        <v>081966550008</v>
      </c>
      <c r="H9" s="29" t="str">
        <f>REPLACE(SUBSTITUTE(Data_Karyawan!H9,"-",""),1,1,"+62")</f>
        <v>+6281966550008</v>
      </c>
      <c r="I9" s="29" t="str">
        <f>REPLACE(SUBSTITUTE(Data_Karyawan!H9,"-",""),5,4,"****")</f>
        <v>0819****0008</v>
      </c>
      <c r="J9" s="29" t="str">
        <f>_xlfn.CONCAT(UPPER(LEFT(Data_Karyawan!E9,3)),"-",RIGHT(Data_Karyawan!A9,3))</f>
        <v>IT-008</v>
      </c>
      <c r="K9" s="29" t="str">
        <f>LOWER(_xlfn.CONCAT(LEFT(TRIM(Data_Karyawan!B9),1),TRIM(Data_Karyawan!C9)))</f>
        <v>eprasetyo</v>
      </c>
    </row>
    <row r="10" spans="1:13" x14ac:dyDescent="0.3">
      <c r="A10" s="29" t="str">
        <f>Data_Karyawan!A10</f>
        <v>EMP-009</v>
      </c>
      <c r="B10" s="29" t="str">
        <f>_xlfn.CONCAT(PROPER(TRIM(Data_Karyawan!B10))," ",PROPER(TRIM(Data_Karyawan!C10)))</f>
        <v>Maya Sari</v>
      </c>
      <c r="C10" s="29" t="str">
        <f>PROPER(TRIM(Data_Karyawan!D10))</f>
        <v>Operations Manager</v>
      </c>
      <c r="D10" s="29" t="str">
        <f>LOWER(TRIM(Data_Karyawan!I10))</f>
        <v>maya.sari@perusahaan.co.id</v>
      </c>
      <c r="E10" s="36">
        <f>DATEDIF(Data_Karyawan!F10,Data_Karyawan!$V$2,"y")</f>
        <v>39</v>
      </c>
      <c r="F10" s="29" t="str">
        <f>DATEDIF(Data_Karyawan!G10,Data_Karyawan!$V$2,"y")&amp;" tahun "&amp;DATEDIF(Data_Karyawan!G10,Data_Karyawan!$V$2,"ym")&amp;" bulan"</f>
        <v>12 tahun 4 bulan</v>
      </c>
      <c r="G10" s="29" t="str">
        <f>SUBSTITUTE(Data_Karyawan!H10,"-","")</f>
        <v>082233440009</v>
      </c>
      <c r="H10" s="29" t="str">
        <f>REPLACE(SUBSTITUTE(Data_Karyawan!H10,"-",""),1,1,"+62")</f>
        <v>+6282233440009</v>
      </c>
      <c r="I10" s="29" t="str">
        <f>REPLACE(SUBSTITUTE(Data_Karyawan!H10,"-",""),5,4,"****")</f>
        <v>0822****0009</v>
      </c>
      <c r="J10" s="29" t="str">
        <f>_xlfn.CONCAT(UPPER(LEFT(Data_Karyawan!E10,3)),"-",RIGHT(Data_Karyawan!A10,3))</f>
        <v>OPE-009</v>
      </c>
      <c r="K10" s="29" t="str">
        <f>LOWER(_xlfn.CONCAT(LEFT(TRIM(Data_Karyawan!B10),1),TRIM(Data_Karyawan!C10)))</f>
        <v>msari</v>
      </c>
    </row>
    <row r="11" spans="1:13" x14ac:dyDescent="0.3">
      <c r="A11" s="29" t="str">
        <f>Data_Karyawan!A11</f>
        <v>EMP-010</v>
      </c>
      <c r="B11" s="29" t="str">
        <f>_xlfn.CONCAT(PROPER(TRIM(Data_Karyawan!B11))," ",PROPER(TRIM(Data_Karyawan!C11)))</f>
        <v>Hendra Gunawan</v>
      </c>
      <c r="C11" s="29" t="str">
        <f>PROPER(TRIM(Data_Karyawan!D11))</f>
        <v>Warehouse Supervisor</v>
      </c>
      <c r="D11" s="29" t="str">
        <f>LOWER(TRIM(Data_Karyawan!I11))</f>
        <v>hendra.gunawan@perusahaan.co.id</v>
      </c>
      <c r="E11" s="36">
        <f>DATEDIF(Data_Karyawan!F11,Data_Karyawan!$V$2,"y")</f>
        <v>38</v>
      </c>
      <c r="F11" s="29" t="str">
        <f>DATEDIF(Data_Karyawan!G11,Data_Karyawan!$V$2,"y")&amp;" tahun "&amp;DATEDIF(Data_Karyawan!G11,Data_Karyawan!$V$2,"ym")&amp;" bulan"</f>
        <v>10 tahun 1 bulan</v>
      </c>
      <c r="G11" s="29" t="str">
        <f>SUBSTITUTE(Data_Karyawan!H11,"-","")</f>
        <v>083890900010</v>
      </c>
      <c r="H11" s="29" t="str">
        <f>REPLACE(SUBSTITUTE(Data_Karyawan!H11,"-",""),1,1,"+62")</f>
        <v>+6283890900010</v>
      </c>
      <c r="I11" s="29" t="str">
        <f>REPLACE(SUBSTITUTE(Data_Karyawan!H11,"-",""),5,4,"****")</f>
        <v>0838****0010</v>
      </c>
      <c r="J11" s="29" t="str">
        <f>_xlfn.CONCAT(UPPER(LEFT(Data_Karyawan!E11,3)),"-",RIGHT(Data_Karyawan!A11,3))</f>
        <v>OPE-010</v>
      </c>
      <c r="K11" s="29" t="str">
        <f>LOWER(_xlfn.CONCAT(LEFT(TRIM(Data_Karyawan!B11),1),TRIM(Data_Karyawan!C11)))</f>
        <v>hgunawan</v>
      </c>
    </row>
    <row r="12" spans="1:13" x14ac:dyDescent="0.3">
      <c r="A12" s="29" t="str">
        <f>Data_Karyawan!A12</f>
        <v>EMP-011</v>
      </c>
      <c r="B12" s="29" t="str">
        <f>_xlfn.CONCAT(PROPER(TRIM(Data_Karyawan!B12))," ",PROPER(TRIM(Data_Karyawan!C12)))</f>
        <v>Lina Marlina</v>
      </c>
      <c r="C12" s="29" t="str">
        <f>PROPER(TRIM(Data_Karyawan!D12))</f>
        <v>Recruiter</v>
      </c>
      <c r="D12" s="29" t="str">
        <f>LOWER(TRIM(Data_Karyawan!I12))</f>
        <v>lina.marlina@perusahaan.co.id</v>
      </c>
      <c r="E12" s="36">
        <f>DATEDIF(Data_Karyawan!F12,Data_Karyawan!$V$2,"y")</f>
        <v>29</v>
      </c>
      <c r="F12" s="29" t="str">
        <f>DATEDIF(Data_Karyawan!G12,Data_Karyawan!$V$2,"y")&amp;" tahun "&amp;DATEDIF(Data_Karyawan!G12,Data_Karyawan!$V$2,"ym")&amp;" bulan"</f>
        <v>2 tahun 9 bulan</v>
      </c>
      <c r="G12" s="29" t="str">
        <f>SUBSTITUTE(Data_Karyawan!H12,"-","")</f>
        <v>085610100011</v>
      </c>
      <c r="H12" s="29" t="str">
        <f>REPLACE(SUBSTITUTE(Data_Karyawan!H12,"-",""),1,1,"+62")</f>
        <v>+6285610100011</v>
      </c>
      <c r="I12" s="29" t="str">
        <f>REPLACE(SUBSTITUTE(Data_Karyawan!H12,"-",""),5,4,"****")</f>
        <v>0856****0011</v>
      </c>
      <c r="J12" s="29" t="str">
        <f>_xlfn.CONCAT(UPPER(LEFT(Data_Karyawan!E12,3)),"-",RIGHT(Data_Karyawan!A12,3))</f>
        <v>HR-011</v>
      </c>
      <c r="K12" s="29" t="str">
        <f>LOWER(_xlfn.CONCAT(LEFT(TRIM(Data_Karyawan!B12),1),TRIM(Data_Karyawan!C12)))</f>
        <v>lmarlina</v>
      </c>
    </row>
    <row r="13" spans="1:13" x14ac:dyDescent="0.3">
      <c r="A13" s="29" t="str">
        <f>Data_Karyawan!A13</f>
        <v>EMP-012</v>
      </c>
      <c r="B13" s="29" t="str">
        <f>_xlfn.CONCAT(PROPER(TRIM(Data_Karyawan!B13))," ",PROPER(TRIM(Data_Karyawan!C13)))</f>
        <v>Joko Susilo</v>
      </c>
      <c r="C13" s="29" t="str">
        <f>PROPER(TRIM(Data_Karyawan!D13))</f>
        <v>Sales Manager</v>
      </c>
      <c r="D13" s="29" t="str">
        <f>LOWER(TRIM(Data_Karyawan!I13))</f>
        <v>joko.susilo@perusahaan.co.id</v>
      </c>
      <c r="E13" s="36">
        <f>DATEDIF(Data_Karyawan!F13,Data_Karyawan!$V$2,"y")</f>
        <v>41</v>
      </c>
      <c r="F13" s="29" t="str">
        <f>DATEDIF(Data_Karyawan!G13,Data_Karyawan!$V$2,"y")&amp;" tahun "&amp;DATEDIF(Data_Karyawan!G13,Data_Karyawan!$V$2,"ym")&amp;" bulan"</f>
        <v>13 tahun 6 bulan</v>
      </c>
      <c r="G13" s="29" t="str">
        <f>SUBSTITUTE(Data_Karyawan!H13,"-","")</f>
        <v>081545450012</v>
      </c>
      <c r="H13" s="29" t="str">
        <f>REPLACE(SUBSTITUTE(Data_Karyawan!H13,"-",""),1,1,"+62")</f>
        <v>+6281545450012</v>
      </c>
      <c r="I13" s="29" t="str">
        <f>REPLACE(SUBSTITUTE(Data_Karyawan!H13,"-",""),5,4,"****")</f>
        <v>0815****0012</v>
      </c>
      <c r="J13" s="29" t="str">
        <f>_xlfn.CONCAT(UPPER(LEFT(Data_Karyawan!E13,3)),"-",RIGHT(Data_Karyawan!A13,3))</f>
        <v>SAL-012</v>
      </c>
      <c r="K13" s="29" t="str">
        <f>LOWER(_xlfn.CONCAT(LEFT(TRIM(Data_Karyawan!B13),1),TRIM(Data_Karyawan!C13)))</f>
        <v>jsusilo</v>
      </c>
    </row>
    <row r="14" spans="1:13" x14ac:dyDescent="0.3">
      <c r="A14" s="29" t="str">
        <f>Data_Karyawan!A14</f>
        <v>EMP-013</v>
      </c>
      <c r="B14" s="29" t="str">
        <f>_xlfn.CONCAT(PROPER(TRIM(Data_Karyawan!B14))," ",PROPER(TRIM(Data_Karyawan!C14)))</f>
        <v>Fitri Handayani</v>
      </c>
      <c r="C14" s="29" t="str">
        <f>PROPER(TRIM(Data_Karyawan!D14))</f>
        <v>Content Creator</v>
      </c>
      <c r="D14" s="29" t="str">
        <f>LOWER(TRIM(Data_Karyawan!I14))</f>
        <v>fitri.handayani@perusahaan.co.id</v>
      </c>
      <c r="E14" s="36">
        <f>DATEDIF(Data_Karyawan!F14,Data_Karyawan!$V$2,"y")</f>
        <v>27</v>
      </c>
      <c r="F14" s="29" t="str">
        <f>DATEDIF(Data_Karyawan!G14,Data_Karyawan!$V$2,"y")&amp;" tahun "&amp;DATEDIF(Data_Karyawan!G14,Data_Karyawan!$V$2,"ym")&amp;" bulan"</f>
        <v>2 tahun 4 bulan</v>
      </c>
      <c r="G14" s="29" t="str">
        <f>SUBSTITUTE(Data_Karyawan!H14,"-","")</f>
        <v>087720200013</v>
      </c>
      <c r="H14" s="29" t="str">
        <f>REPLACE(SUBSTITUTE(Data_Karyawan!H14,"-",""),1,1,"+62")</f>
        <v>+6287720200013</v>
      </c>
      <c r="I14" s="29" t="str">
        <f>REPLACE(SUBSTITUTE(Data_Karyawan!H14,"-",""),5,4,"****")</f>
        <v>0877****0013</v>
      </c>
      <c r="J14" s="29" t="str">
        <f>_xlfn.CONCAT(UPPER(LEFT(Data_Karyawan!E14,3)),"-",RIGHT(Data_Karyawan!A14,3))</f>
        <v>MAR-013</v>
      </c>
      <c r="K14" s="29" t="str">
        <f>LOWER(_xlfn.CONCAT(LEFT(TRIM(Data_Karyawan!B14),1),TRIM(Data_Karyawan!C14)))</f>
        <v>fhandayani</v>
      </c>
    </row>
    <row r="15" spans="1:13" x14ac:dyDescent="0.3">
      <c r="A15" s="29" t="str">
        <f>Data_Karyawan!A15</f>
        <v>EMP-014</v>
      </c>
      <c r="B15" s="29" t="str">
        <f>_xlfn.CONCAT(PROPER(TRIM(Data_Karyawan!B15))," ",PROPER(TRIM(Data_Karyawan!C15)))</f>
        <v>Rizky Ramadhan</v>
      </c>
      <c r="C15" s="29" t="str">
        <f>PROPER(TRIM(Data_Karyawan!D15))</f>
        <v>Data Engineer</v>
      </c>
      <c r="D15" s="29" t="str">
        <f>LOWER(TRIM(Data_Karyawan!I15))</f>
        <v>rizky.ramadhan@perusahaan.co.id</v>
      </c>
      <c r="E15" s="36">
        <f>DATEDIF(Data_Karyawan!F15,Data_Karyawan!$V$2,"y")</f>
        <v>31</v>
      </c>
      <c r="F15" s="29" t="str">
        <f>DATEDIF(Data_Karyawan!G15,Data_Karyawan!$V$2,"y")&amp;" tahun "&amp;DATEDIF(Data_Karyawan!G15,Data_Karyawan!$V$2,"ym")&amp;" bulan"</f>
        <v>5 tahun 11 bulan</v>
      </c>
      <c r="G15" s="29" t="str">
        <f>SUBSTITUTE(Data_Karyawan!H15,"-","")</f>
        <v>082367670014</v>
      </c>
      <c r="H15" s="29" t="str">
        <f>REPLACE(SUBSTITUTE(Data_Karyawan!H15,"-",""),1,1,"+62")</f>
        <v>+6282367670014</v>
      </c>
      <c r="I15" s="29" t="str">
        <f>REPLACE(SUBSTITUTE(Data_Karyawan!H15,"-",""),5,4,"****")</f>
        <v>0823****0014</v>
      </c>
      <c r="J15" s="29" t="str">
        <f>_xlfn.CONCAT(UPPER(LEFT(Data_Karyawan!E15,3)),"-",RIGHT(Data_Karyawan!A15,3))</f>
        <v>IT-014</v>
      </c>
      <c r="K15" s="29" t="str">
        <f>LOWER(_xlfn.CONCAT(LEFT(TRIM(Data_Karyawan!B15),1),TRIM(Data_Karyawan!C15)))</f>
        <v>rramadhan</v>
      </c>
    </row>
    <row r="16" spans="1:13" x14ac:dyDescent="0.3">
      <c r="A16" s="29" t="str">
        <f>Data_Karyawan!A16</f>
        <v>EMP-015</v>
      </c>
      <c r="B16" s="29" t="str">
        <f>_xlfn.CONCAT(PROPER(TRIM(Data_Karyawan!B16))," ",PROPER(TRIM(Data_Karyawan!C16)))</f>
        <v>Nur Hidayah</v>
      </c>
      <c r="C16" s="29" t="str">
        <f>PROPER(TRIM(Data_Karyawan!D16))</f>
        <v>Finance Manager</v>
      </c>
      <c r="D16" s="29" t="str">
        <f>LOWER(TRIM(Data_Karyawan!I16))</f>
        <v>nur.hidayah@perusahaan.co.id</v>
      </c>
      <c r="E16" s="36">
        <f>DATEDIF(Data_Karyawan!F16,Data_Karyawan!$V$2,"y")</f>
        <v>40</v>
      </c>
      <c r="F16" s="29" t="str">
        <f>DATEDIF(Data_Karyawan!G16,Data_Karyawan!$V$2,"y")&amp;" tahun "&amp;DATEDIF(Data_Karyawan!G16,Data_Karyawan!$V$2,"ym")&amp;" bulan"</f>
        <v>11 tahun 9 bulan</v>
      </c>
      <c r="G16" s="29" t="str">
        <f>SUBSTITUTE(Data_Karyawan!H16,"-","")</f>
        <v>081388880015</v>
      </c>
      <c r="H16" s="29" t="str">
        <f>REPLACE(SUBSTITUTE(Data_Karyawan!H16,"-",""),1,1,"+62")</f>
        <v>+6281388880015</v>
      </c>
      <c r="I16" s="29" t="str">
        <f>REPLACE(SUBSTITUTE(Data_Karyawan!H16,"-",""),5,4,"****")</f>
        <v>0813****0015</v>
      </c>
      <c r="J16" s="29" t="str">
        <f>_xlfn.CONCAT(UPPER(LEFT(Data_Karyawan!E16,3)),"-",RIGHT(Data_Karyawan!A16,3))</f>
        <v>FIN-015</v>
      </c>
      <c r="K16" s="29" t="str">
        <f>LOWER(_xlfn.CONCAT(LEFT(TRIM(Data_Karyawan!B16),1),TRIM(Data_Karyawan!C16)))</f>
        <v>nhidayah</v>
      </c>
    </row>
    <row r="17" spans="1:11" x14ac:dyDescent="0.3">
      <c r="A17" s="29" t="str">
        <f>Data_Karyawan!A17</f>
        <v>EMP-016</v>
      </c>
      <c r="B17" s="29" t="str">
        <f>_xlfn.CONCAT(PROPER(TRIM(Data_Karyawan!B17))," ",PROPER(TRIM(Data_Karyawan!C17)))</f>
        <v>Doni Kurniawan</v>
      </c>
      <c r="C17" s="29" t="str">
        <f>PROPER(TRIM(Data_Karyawan!D17))</f>
        <v>Customer Service</v>
      </c>
      <c r="D17" s="29" t="str">
        <f>LOWER(TRIM(Data_Karyawan!I17))</f>
        <v>doni.kurniawan@perusahaan.co.id</v>
      </c>
      <c r="E17" s="36">
        <f>DATEDIF(Data_Karyawan!F17,Data_Karyawan!$V$2,"y")</f>
        <v>26</v>
      </c>
      <c r="F17" s="29" t="str">
        <f>DATEDIF(Data_Karyawan!G17,Data_Karyawan!$V$2,"y")&amp;" tahun "&amp;DATEDIF(Data_Karyawan!G17,Data_Karyawan!$V$2,"ym")&amp;" bulan"</f>
        <v>1 tahun 7 bulan</v>
      </c>
      <c r="G17" s="29" t="str">
        <f>SUBSTITUTE(Data_Karyawan!H17,"-","")</f>
        <v>085131310016</v>
      </c>
      <c r="H17" s="29" t="str">
        <f>REPLACE(SUBSTITUTE(Data_Karyawan!H17,"-",""),1,1,"+62")</f>
        <v>+6285131310016</v>
      </c>
      <c r="I17" s="29" t="str">
        <f>REPLACE(SUBSTITUTE(Data_Karyawan!H17,"-",""),5,4,"****")</f>
        <v>0851****0016</v>
      </c>
      <c r="J17" s="29" t="str">
        <f>_xlfn.CONCAT(UPPER(LEFT(Data_Karyawan!E17,3)),"-",RIGHT(Data_Karyawan!A17,3))</f>
        <v>OPE-016</v>
      </c>
      <c r="K17" s="29" t="str">
        <f>LOWER(_xlfn.CONCAT(LEFT(TRIM(Data_Karyawan!B17),1),TRIM(Data_Karyawan!C17)))</f>
        <v>dkurniawan</v>
      </c>
    </row>
    <row r="18" spans="1:11" x14ac:dyDescent="0.3">
      <c r="A18" s="29" t="str">
        <f>Data_Karyawan!A18</f>
        <v>EMP-017</v>
      </c>
      <c r="B18" s="29" t="str">
        <f>_xlfn.CONCAT(PROPER(TRIM(Data_Karyawan!B18))," ",PROPER(TRIM(Data_Karyawan!C18)))</f>
        <v>Ayu Lestari</v>
      </c>
      <c r="C18" s="29" t="str">
        <f>PROPER(TRIM(Data_Karyawan!D18))</f>
        <v>Brand Specialist</v>
      </c>
      <c r="D18" s="29" t="str">
        <f>LOWER(TRIM(Data_Karyawan!I18))</f>
        <v>ayu.lestari@perusahaan.co.id</v>
      </c>
      <c r="E18" s="36">
        <f>DATEDIF(Data_Karyawan!F18,Data_Karyawan!$V$2,"y")</f>
        <v>29</v>
      </c>
      <c r="F18" s="29" t="str">
        <f>DATEDIF(Data_Karyawan!G18,Data_Karyawan!$V$2,"y")&amp;" tahun "&amp;DATEDIF(Data_Karyawan!G18,Data_Karyawan!$V$2,"ym")&amp;" bulan"</f>
        <v>5 tahun 3 bulan</v>
      </c>
      <c r="G18" s="29" t="str">
        <f>SUBSTITUTE(Data_Karyawan!H18,"-","")</f>
        <v>081294940017</v>
      </c>
      <c r="H18" s="29" t="str">
        <f>REPLACE(SUBSTITUTE(Data_Karyawan!H18,"-",""),1,1,"+62")</f>
        <v>+6281294940017</v>
      </c>
      <c r="I18" s="29" t="str">
        <f>REPLACE(SUBSTITUTE(Data_Karyawan!H18,"-",""),5,4,"****")</f>
        <v>0812****0017</v>
      </c>
      <c r="J18" s="29" t="str">
        <f>_xlfn.CONCAT(UPPER(LEFT(Data_Karyawan!E18,3)),"-",RIGHT(Data_Karyawan!A18,3))</f>
        <v>MAR-017</v>
      </c>
      <c r="K18" s="29" t="str">
        <f>LOWER(_xlfn.CONCAT(LEFT(TRIM(Data_Karyawan!B18),1),TRIM(Data_Karyawan!C18)))</f>
        <v>alestari</v>
      </c>
    </row>
    <row r="19" spans="1:11" x14ac:dyDescent="0.3">
      <c r="A19" s="29" t="str">
        <f>Data_Karyawan!A19</f>
        <v>EMP-018</v>
      </c>
      <c r="B19" s="29" t="str">
        <f>_xlfn.CONCAT(PROPER(TRIM(Data_Karyawan!B19))," ",PROPER(TRIM(Data_Karyawan!C19)))</f>
        <v>Bayu Nugroho</v>
      </c>
      <c r="C19" s="29" t="str">
        <f>PROPER(TRIM(Data_Karyawan!D19))</f>
        <v>Business Analyst</v>
      </c>
      <c r="D19" s="29" t="str">
        <f>LOWER(TRIM(Data_Karyawan!I19))</f>
        <v>bayu.nugroho@perusahaan.co.id</v>
      </c>
      <c r="E19" s="36">
        <f>DATEDIF(Data_Karyawan!F19,Data_Karyawan!$V$2,"y")</f>
        <v>34</v>
      </c>
      <c r="F19" s="29" t="str">
        <f>DATEDIF(Data_Karyawan!G19,Data_Karyawan!$V$2,"y")&amp;" tahun "&amp;DATEDIF(Data_Karyawan!G19,Data_Karyawan!$V$2,"ym")&amp;" bulan"</f>
        <v>8 tahun 1 bulan</v>
      </c>
      <c r="G19" s="29" t="str">
        <f>SUBSTITUTE(Data_Karyawan!H19,"-","")</f>
        <v>089627270018</v>
      </c>
      <c r="H19" s="29" t="str">
        <f>REPLACE(SUBSTITUTE(Data_Karyawan!H19,"-",""),1,1,"+62")</f>
        <v>+6289627270018</v>
      </c>
      <c r="I19" s="29" t="str">
        <f>REPLACE(SUBSTITUTE(Data_Karyawan!H19,"-",""),5,4,"****")</f>
        <v>0896****0018</v>
      </c>
      <c r="J19" s="29" t="str">
        <f>_xlfn.CONCAT(UPPER(LEFT(Data_Karyawan!E19,3)),"-",RIGHT(Data_Karyawan!A19,3))</f>
        <v>IT-018</v>
      </c>
      <c r="K19" s="29" t="str">
        <f>LOWER(_xlfn.CONCAT(LEFT(TRIM(Data_Karyawan!B19),1),TRIM(Data_Karyawan!C19)))</f>
        <v>bnugroho</v>
      </c>
    </row>
    <row r="20" spans="1:11" x14ac:dyDescent="0.3">
      <c r="A20" s="29" t="str">
        <f>Data_Karyawan!A20</f>
        <v>EMP-019</v>
      </c>
      <c r="B20" s="29" t="str">
        <f>_xlfn.CONCAT(PROPER(TRIM(Data_Karyawan!B20))," ",PROPER(TRIM(Data_Karyawan!C20)))</f>
        <v>Intan Permata</v>
      </c>
      <c r="C20" s="29" t="str">
        <f>PROPER(TRIM(Data_Karyawan!D20))</f>
        <v>Sales Executive</v>
      </c>
      <c r="D20" s="29" t="str">
        <f>LOWER(TRIM(Data_Karyawan!I20))</f>
        <v>intan.permata@perusahaan.co.id</v>
      </c>
      <c r="E20" s="36">
        <f>DATEDIF(Data_Karyawan!F20,Data_Karyawan!$V$2,"y")</f>
        <v>25</v>
      </c>
      <c r="F20" s="29" t="str">
        <f>DATEDIF(Data_Karyawan!G20,Data_Karyawan!$V$2,"y")&amp;" tahun "&amp;DATEDIF(Data_Karyawan!G20,Data_Karyawan!$V$2,"ym")&amp;" bulan"</f>
        <v>1 tahun 2 bulan</v>
      </c>
      <c r="G20" s="29" t="str">
        <f>SUBSTITUTE(Data_Karyawan!H20,"-","")</f>
        <v>088156560019</v>
      </c>
      <c r="H20" s="29" t="str">
        <f>REPLACE(SUBSTITUTE(Data_Karyawan!H20,"-",""),1,1,"+62")</f>
        <v>+6288156560019</v>
      </c>
      <c r="I20" s="29" t="str">
        <f>REPLACE(SUBSTITUTE(Data_Karyawan!H20,"-",""),5,4,"****")</f>
        <v>0881****0019</v>
      </c>
      <c r="J20" s="29" t="str">
        <f>_xlfn.CONCAT(UPPER(LEFT(Data_Karyawan!E20,3)),"-",RIGHT(Data_Karyawan!A20,3))</f>
        <v>SAL-019</v>
      </c>
      <c r="K20" s="29" t="str">
        <f>LOWER(_xlfn.CONCAT(LEFT(TRIM(Data_Karyawan!B20),1),TRIM(Data_Karyawan!C20)))</f>
        <v>ipermata</v>
      </c>
    </row>
    <row r="21" spans="1:11" x14ac:dyDescent="0.3">
      <c r="A21" s="29" t="str">
        <f>Data_Karyawan!A21</f>
        <v>EMP-020</v>
      </c>
      <c r="B21" s="29" t="str">
        <f>_xlfn.CONCAT(PROPER(TRIM(Data_Karyawan!B21))," ",PROPER(TRIM(Data_Karyawan!C21)))</f>
        <v>Fajar Hidayat</v>
      </c>
      <c r="C21" s="29" t="str">
        <f>PROPER(TRIM(Data_Karyawan!D21))</f>
        <v>Hr Manager</v>
      </c>
      <c r="D21" s="29" t="str">
        <f>LOWER(TRIM(Data_Karyawan!I21))</f>
        <v>fajar.hidayat@perusahaan.co.id</v>
      </c>
      <c r="E21" s="36">
        <f>DATEDIF(Data_Karyawan!F21,Data_Karyawan!$V$2,"y")</f>
        <v>42</v>
      </c>
      <c r="F21" s="29" t="str">
        <f>DATEDIF(Data_Karyawan!G21,Data_Karyawan!$V$2,"y")&amp;" tahun "&amp;DATEDIF(Data_Karyawan!G21,Data_Karyawan!$V$2,"ym")&amp;" bulan"</f>
        <v>13 tahun 10 bulan</v>
      </c>
      <c r="G21" s="29" t="str">
        <f>SUBSTITUTE(Data_Karyawan!H21,"-","")</f>
        <v>081814140020</v>
      </c>
      <c r="H21" s="29" t="str">
        <f>REPLACE(SUBSTITUTE(Data_Karyawan!H21,"-",""),1,1,"+62")</f>
        <v>+6281814140020</v>
      </c>
      <c r="I21" s="29" t="str">
        <f>REPLACE(SUBSTITUTE(Data_Karyawan!H21,"-",""),5,4,"****")</f>
        <v>0818****0020</v>
      </c>
      <c r="J21" s="29" t="str">
        <f>_xlfn.CONCAT(UPPER(LEFT(Data_Karyawan!E21,3)),"-",RIGHT(Data_Karyawan!A21,3))</f>
        <v>HR-020</v>
      </c>
      <c r="K21" s="29" t="str">
        <f>LOWER(_xlfn.CONCAT(LEFT(TRIM(Data_Karyawan!B21),1),TRIM(Data_Karyawan!C21)))</f>
        <v>fhidayat</v>
      </c>
    </row>
  </sheetData>
  <pageMargins left="0.75" right="0.75" top="1" bottom="1" header="0.511811023622047" footer="0.511811023622047"/>
  <pageSetup fitToHeight="0" orientation="landscape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C00000"/>
    <pageSetUpPr fitToPage="1"/>
  </sheetPr>
  <dimension ref="A1:F49"/>
  <sheetViews>
    <sheetView showGridLines="0" zoomScaleNormal="100" workbookViewId="0"/>
  </sheetViews>
  <sheetFormatPr defaultColWidth="8.6640625" defaultRowHeight="14.4" x14ac:dyDescent="0.3"/>
  <cols>
    <col min="1" max="1" width="20" customWidth="1"/>
    <col min="2" max="6" width="18" customWidth="1"/>
    <col min="7" max="7" width="3" customWidth="1"/>
  </cols>
  <sheetData>
    <row r="1" spans="1:6" ht="17.399999999999999" x14ac:dyDescent="0.3">
      <c r="A1" s="18" t="s">
        <v>768</v>
      </c>
    </row>
    <row r="2" spans="1:6" x14ac:dyDescent="0.3">
      <c r="A2" s="19" t="s">
        <v>769</v>
      </c>
    </row>
    <row r="4" spans="1:6" x14ac:dyDescent="0.3">
      <c r="A4" s="47" t="s">
        <v>770</v>
      </c>
    </row>
    <row r="5" spans="1:6" x14ac:dyDescent="0.3">
      <c r="A5" s="13" t="s">
        <v>235</v>
      </c>
      <c r="B5" s="13" t="s">
        <v>242</v>
      </c>
      <c r="C5" s="13" t="s">
        <v>771</v>
      </c>
      <c r="D5" s="13" t="s">
        <v>772</v>
      </c>
    </row>
    <row r="6" spans="1:6" x14ac:dyDescent="0.3">
      <c r="A6" s="29" t="s">
        <v>258</v>
      </c>
      <c r="B6" s="33">
        <f>SUMIFS(Data_Penjualan!$M$2:$M$61,Data_Penjualan!$F$2:$F$61,A6)</f>
        <v>319630000</v>
      </c>
      <c r="C6" s="31">
        <f>COUNTIFS(Data_Penjualan!$F$2:$F$61,A6)</f>
        <v>32</v>
      </c>
      <c r="D6" s="48">
        <f>B6/$B$10</f>
        <v>0.73547693077651</v>
      </c>
    </row>
    <row r="7" spans="1:6" x14ac:dyDescent="0.3">
      <c r="A7" s="29" t="s">
        <v>252</v>
      </c>
      <c r="B7" s="33">
        <f>SUMIFS(Data_Penjualan!$M$2:$M$61,Data_Penjualan!$F$2:$F$61,A7)</f>
        <v>58050000</v>
      </c>
      <c r="C7" s="31">
        <f>COUNTIFS(Data_Penjualan!$F$2:$F$61,A7)</f>
        <v>12</v>
      </c>
      <c r="D7" s="48">
        <f>B7/$B$10</f>
        <v>0.13357455755585021</v>
      </c>
    </row>
    <row r="8" spans="1:6" x14ac:dyDescent="0.3">
      <c r="A8" s="29" t="s">
        <v>277</v>
      </c>
      <c r="B8" s="33">
        <f>SUMIFS(Data_Penjualan!$M$2:$M$61,Data_Penjualan!$F$2:$F$61,A8)</f>
        <v>45884000</v>
      </c>
      <c r="C8" s="31">
        <f>COUNTIFS(Data_Penjualan!$F$2:$F$61,A8)</f>
        <v>11</v>
      </c>
      <c r="D8" s="48">
        <f>B8/$B$10</f>
        <v>0.10558027560538555</v>
      </c>
    </row>
    <row r="9" spans="1:6" x14ac:dyDescent="0.3">
      <c r="A9" s="29" t="s">
        <v>271</v>
      </c>
      <c r="B9" s="33">
        <f>SUMIFS(Data_Penjualan!$M$2:$M$61,Data_Penjualan!$F$2:$F$61,A9)</f>
        <v>11024750</v>
      </c>
      <c r="C9" s="31">
        <f>COUNTIFS(Data_Penjualan!$F$2:$F$61,A9)</f>
        <v>5</v>
      </c>
      <c r="D9" s="48">
        <f>B9/$B$10</f>
        <v>2.5368236062254256E-2</v>
      </c>
    </row>
    <row r="10" spans="1:6" x14ac:dyDescent="0.3">
      <c r="A10" s="35" t="s">
        <v>773</v>
      </c>
      <c r="B10" s="49">
        <f>SUM(B6:B9)</f>
        <v>434588750</v>
      </c>
      <c r="C10" s="50">
        <f>SUM(C6:C9)</f>
        <v>60</v>
      </c>
      <c r="D10" s="51">
        <f>SUM(D6:D9)</f>
        <v>1</v>
      </c>
    </row>
    <row r="12" spans="1:6" x14ac:dyDescent="0.3">
      <c r="A12" s="47" t="s">
        <v>774</v>
      </c>
    </row>
    <row r="13" spans="1:6" x14ac:dyDescent="0.3">
      <c r="A13" s="13" t="s">
        <v>236</v>
      </c>
      <c r="B13" s="13" t="s">
        <v>258</v>
      </c>
      <c r="C13" s="13" t="s">
        <v>252</v>
      </c>
      <c r="D13" s="13" t="s">
        <v>277</v>
      </c>
      <c r="E13" s="13" t="s">
        <v>271</v>
      </c>
      <c r="F13" s="13" t="s">
        <v>773</v>
      </c>
    </row>
    <row r="14" spans="1:6" x14ac:dyDescent="0.3">
      <c r="A14" s="29" t="s">
        <v>265</v>
      </c>
      <c r="B14" s="33">
        <f>SUMIFS(Data_Penjualan!$M$2:$M$61,Data_Penjualan!$G$2:$G$61,$A14,Data_Penjualan!$F$2:$F$61,B$13)</f>
        <v>26240000</v>
      </c>
      <c r="C14" s="33">
        <f>SUMIFS(Data_Penjualan!$M$2:$M$61,Data_Penjualan!$G$2:$G$61,$A14,Data_Penjualan!$F$2:$F$61,C$13)</f>
        <v>19905000</v>
      </c>
      <c r="D14" s="33">
        <f>SUMIFS(Data_Penjualan!$M$2:$M$61,Data_Penjualan!$G$2:$G$61,$A14,Data_Penjualan!$F$2:$F$61,D$13)</f>
        <v>9384000</v>
      </c>
      <c r="E14" s="33">
        <f>SUMIFS(Data_Penjualan!$M$2:$M$61,Data_Penjualan!$G$2:$G$61,$A14,Data_Penjualan!$F$2:$F$61,E$13)</f>
        <v>2178000</v>
      </c>
      <c r="F14" s="49">
        <f>SUM(B14:E14)</f>
        <v>57707000</v>
      </c>
    </row>
    <row r="15" spans="1:6" x14ac:dyDescent="0.3">
      <c r="A15" s="29" t="s">
        <v>292</v>
      </c>
      <c r="B15" s="33">
        <f>SUMIFS(Data_Penjualan!$M$2:$M$61,Data_Penjualan!$G$2:$G$61,$A15,Data_Penjualan!$F$2:$F$61,B$13)</f>
        <v>47450000</v>
      </c>
      <c r="C15" s="33">
        <f>SUMIFS(Data_Penjualan!$M$2:$M$61,Data_Penjualan!$G$2:$G$61,$A15,Data_Penjualan!$F$2:$F$61,C$13)</f>
        <v>19650000</v>
      </c>
      <c r="D15" s="33">
        <f>SUMIFS(Data_Penjualan!$M$2:$M$61,Data_Penjualan!$G$2:$G$61,$A15,Data_Penjualan!$F$2:$F$61,D$13)</f>
        <v>0</v>
      </c>
      <c r="E15" s="33">
        <f>SUMIFS(Data_Penjualan!$M$2:$M$61,Data_Penjualan!$G$2:$G$61,$A15,Data_Penjualan!$F$2:$F$61,E$13)</f>
        <v>783750</v>
      </c>
      <c r="F15" s="49">
        <f>SUM(B15:E15)</f>
        <v>67883750</v>
      </c>
    </row>
    <row r="16" spans="1:6" x14ac:dyDescent="0.3">
      <c r="A16" s="29" t="s">
        <v>272</v>
      </c>
      <c r="B16" s="33">
        <f>SUMIFS(Data_Penjualan!$M$2:$M$61,Data_Penjualan!$G$2:$G$61,$A16,Data_Penjualan!$F$2:$F$61,B$13)</f>
        <v>80870000</v>
      </c>
      <c r="C16" s="33">
        <f>SUMIFS(Data_Penjualan!$M$2:$M$61,Data_Penjualan!$G$2:$G$61,$A16,Data_Penjualan!$F$2:$F$61,C$13)</f>
        <v>8775000</v>
      </c>
      <c r="D16" s="33">
        <f>SUMIFS(Data_Penjualan!$M$2:$M$61,Data_Penjualan!$G$2:$G$61,$A16,Data_Penjualan!$F$2:$F$61,D$13)</f>
        <v>11720000</v>
      </c>
      <c r="E16" s="33">
        <f>SUMIFS(Data_Penjualan!$M$2:$M$61,Data_Penjualan!$G$2:$G$61,$A16,Data_Penjualan!$F$2:$F$61,E$13)</f>
        <v>5423000</v>
      </c>
      <c r="F16" s="49">
        <f>SUM(B16:E16)</f>
        <v>106788000</v>
      </c>
    </row>
    <row r="17" spans="1:6" x14ac:dyDescent="0.3">
      <c r="A17" s="29" t="s">
        <v>253</v>
      </c>
      <c r="B17" s="33">
        <f>SUMIFS(Data_Penjualan!$M$2:$M$61,Data_Penjualan!$G$2:$G$61,$A17,Data_Penjualan!$F$2:$F$61,B$13)</f>
        <v>23850000</v>
      </c>
      <c r="C17" s="33">
        <f>SUMIFS(Data_Penjualan!$M$2:$M$61,Data_Penjualan!$G$2:$G$61,$A17,Data_Penjualan!$F$2:$F$61,C$13)</f>
        <v>1800000</v>
      </c>
      <c r="D17" s="33">
        <f>SUMIFS(Data_Penjualan!$M$2:$M$61,Data_Penjualan!$G$2:$G$61,$A17,Data_Penjualan!$F$2:$F$61,D$13)</f>
        <v>19500000</v>
      </c>
      <c r="E17" s="33">
        <f>SUMIFS(Data_Penjualan!$M$2:$M$61,Data_Penjualan!$G$2:$G$61,$A17,Data_Penjualan!$F$2:$F$61,E$13)</f>
        <v>2640000</v>
      </c>
      <c r="F17" s="49">
        <f>SUM(B17:E17)</f>
        <v>47790000</v>
      </c>
    </row>
    <row r="18" spans="1:6" x14ac:dyDescent="0.3">
      <c r="A18" s="29" t="s">
        <v>259</v>
      </c>
      <c r="B18" s="33">
        <f>SUMIFS(Data_Penjualan!$M$2:$M$61,Data_Penjualan!$G$2:$G$61,$A18,Data_Penjualan!$F$2:$F$61,B$13)</f>
        <v>141220000</v>
      </c>
      <c r="C18" s="33">
        <f>SUMIFS(Data_Penjualan!$M$2:$M$61,Data_Penjualan!$G$2:$G$61,$A18,Data_Penjualan!$F$2:$F$61,C$13)</f>
        <v>7920000</v>
      </c>
      <c r="D18" s="33">
        <f>SUMIFS(Data_Penjualan!$M$2:$M$61,Data_Penjualan!$G$2:$G$61,$A18,Data_Penjualan!$F$2:$F$61,D$13)</f>
        <v>5280000</v>
      </c>
      <c r="E18" s="33">
        <f>SUMIFS(Data_Penjualan!$M$2:$M$61,Data_Penjualan!$G$2:$G$61,$A18,Data_Penjualan!$F$2:$F$61,E$13)</f>
        <v>0</v>
      </c>
      <c r="F18" s="49">
        <f>SUM(B18:E18)</f>
        <v>154420000</v>
      </c>
    </row>
    <row r="19" spans="1:6" x14ac:dyDescent="0.3">
      <c r="A19" s="35" t="s">
        <v>773</v>
      </c>
      <c r="B19" s="49">
        <f>SUM(B14:B18)</f>
        <v>319630000</v>
      </c>
      <c r="C19" s="49">
        <f>SUM(C14:C18)</f>
        <v>58050000</v>
      </c>
      <c r="D19" s="49">
        <f>SUM(D14:D18)</f>
        <v>45884000</v>
      </c>
      <c r="E19" s="49">
        <f>SUM(E14:E18)</f>
        <v>11024750</v>
      </c>
      <c r="F19" s="49">
        <f>SUM(F14:F18)</f>
        <v>434588750</v>
      </c>
    </row>
    <row r="21" spans="1:6" x14ac:dyDescent="0.3">
      <c r="A21" s="47" t="s">
        <v>775</v>
      </c>
    </row>
    <row r="22" spans="1:6" ht="26.4" x14ac:dyDescent="0.3">
      <c r="A22" s="13" t="s">
        <v>241</v>
      </c>
      <c r="B22" s="13" t="s">
        <v>771</v>
      </c>
      <c r="C22" s="13" t="s">
        <v>242</v>
      </c>
      <c r="D22" s="13" t="s">
        <v>776</v>
      </c>
    </row>
    <row r="23" spans="1:6" x14ac:dyDescent="0.3">
      <c r="A23" s="29" t="s">
        <v>267</v>
      </c>
      <c r="B23" s="31">
        <f>COUNTIFS(Data_Penjualan!$L$2:$L$61,A23)</f>
        <v>15</v>
      </c>
      <c r="C23" s="33">
        <f>SUMIFS(Data_Penjualan!$M$2:$M$61,Data_Penjualan!$L$2:$L$61,A23)</f>
        <v>139460000</v>
      </c>
      <c r="D23" s="33">
        <f>C23/B23</f>
        <v>9297333.333333334</v>
      </c>
    </row>
    <row r="24" spans="1:6" x14ac:dyDescent="0.3">
      <c r="A24" s="29" t="s">
        <v>261</v>
      </c>
      <c r="B24" s="31">
        <f>COUNTIFS(Data_Penjualan!$L$2:$L$61,A24)</f>
        <v>19</v>
      </c>
      <c r="C24" s="33">
        <f>SUMIFS(Data_Penjualan!$M$2:$M$61,Data_Penjualan!$L$2:$L$61,A24)</f>
        <v>113860000</v>
      </c>
      <c r="D24" s="33">
        <f>C24/B24</f>
        <v>5992631.5789473681</v>
      </c>
    </row>
    <row r="25" spans="1:6" x14ac:dyDescent="0.3">
      <c r="A25" s="29" t="s">
        <v>255</v>
      </c>
      <c r="B25" s="31">
        <f>COUNTIFS(Data_Penjualan!$L$2:$L$61,A25)</f>
        <v>14</v>
      </c>
      <c r="C25" s="33">
        <f>SUMIFS(Data_Penjualan!$M$2:$M$61,Data_Penjualan!$L$2:$L$61,A25)</f>
        <v>105935000</v>
      </c>
      <c r="D25" s="33">
        <f>C25/B25</f>
        <v>7566785.7142857146</v>
      </c>
    </row>
    <row r="26" spans="1:6" x14ac:dyDescent="0.3">
      <c r="A26" s="29" t="s">
        <v>282</v>
      </c>
      <c r="B26" s="31">
        <f>COUNTIFS(Data_Penjualan!$L$2:$L$61,A26)</f>
        <v>12</v>
      </c>
      <c r="C26" s="33">
        <f>SUMIFS(Data_Penjualan!$M$2:$M$61,Data_Penjualan!$L$2:$L$61,A26)</f>
        <v>75333750</v>
      </c>
      <c r="D26" s="33">
        <f>C26/B26</f>
        <v>6277812.5</v>
      </c>
    </row>
    <row r="27" spans="1:6" x14ac:dyDescent="0.3">
      <c r="A27" s="35" t="s">
        <v>773</v>
      </c>
      <c r="B27" s="50">
        <f>SUM(B23:B26)</f>
        <v>60</v>
      </c>
      <c r="C27" s="49">
        <f>SUM(C23:C26)</f>
        <v>434588750</v>
      </c>
      <c r="D27" s="49">
        <f>C27/B27</f>
        <v>7243145.833333333</v>
      </c>
    </row>
    <row r="29" spans="1:6" x14ac:dyDescent="0.3">
      <c r="A29" s="47" t="s">
        <v>777</v>
      </c>
    </row>
    <row r="30" spans="1:6" x14ac:dyDescent="0.3">
      <c r="A30" s="13" t="s">
        <v>778</v>
      </c>
      <c r="B30" s="13" t="s">
        <v>779</v>
      </c>
      <c r="C30" s="13" t="s">
        <v>242</v>
      </c>
      <c r="D30" s="13" t="s">
        <v>771</v>
      </c>
    </row>
    <row r="31" spans="1:6" x14ac:dyDescent="0.3">
      <c r="A31" s="29" t="s">
        <v>780</v>
      </c>
      <c r="B31" s="30">
        <f>DATE(2026,1,1)</f>
        <v>46023</v>
      </c>
      <c r="C31" s="33">
        <f>SUMIFS(Data_Penjualan!$M$2:$M$61,Data_Penjualan!$B$2:$B$61,"&gt;="&amp;B31,Data_Penjualan!$B$2:$B$61,"&lt;"&amp;EDATE(B31,1))</f>
        <v>28768000</v>
      </c>
      <c r="D31" s="31">
        <f>COUNTIFS(Data_Penjualan!$B$2:$B$61,"&gt;="&amp;B31,Data_Penjualan!$B$2:$B$61,"&lt;"&amp;EDATE(B31,1))</f>
        <v>5</v>
      </c>
    </row>
    <row r="32" spans="1:6" x14ac:dyDescent="0.3">
      <c r="A32" s="29" t="s">
        <v>781</v>
      </c>
      <c r="B32" s="30">
        <f>DATE(2026,2,1)</f>
        <v>46054</v>
      </c>
      <c r="C32" s="33">
        <f>SUMIFS(Data_Penjualan!$M$2:$M$61,Data_Penjualan!$B$2:$B$61,"&gt;="&amp;B32,Data_Penjualan!$B$2:$B$61,"&lt;"&amp;EDATE(B32,1))</f>
        <v>44630000</v>
      </c>
      <c r="D32" s="31">
        <f>COUNTIFS(Data_Penjualan!$B$2:$B$61,"&gt;="&amp;B32,Data_Penjualan!$B$2:$B$61,"&lt;"&amp;EDATE(B32,1))</f>
        <v>7</v>
      </c>
    </row>
    <row r="33" spans="1:4" x14ac:dyDescent="0.3">
      <c r="A33" s="29" t="s">
        <v>782</v>
      </c>
      <c r="B33" s="30">
        <f>DATE(2026,3,1)</f>
        <v>46082</v>
      </c>
      <c r="C33" s="33">
        <f>SUMIFS(Data_Penjualan!$M$2:$M$61,Data_Penjualan!$B$2:$B$61,"&gt;="&amp;B33,Data_Penjualan!$B$2:$B$61,"&lt;"&amp;EDATE(B33,1))</f>
        <v>48685000</v>
      </c>
      <c r="D33" s="31">
        <f>COUNTIFS(Data_Penjualan!$B$2:$B$61,"&gt;="&amp;B33,Data_Penjualan!$B$2:$B$61,"&lt;"&amp;EDATE(B33,1))</f>
        <v>6</v>
      </c>
    </row>
    <row r="34" spans="1:4" x14ac:dyDescent="0.3">
      <c r="A34" s="29" t="s">
        <v>783</v>
      </c>
      <c r="B34" s="30">
        <f>DATE(2026,4,1)</f>
        <v>46113</v>
      </c>
      <c r="C34" s="33">
        <f>SUMIFS(Data_Penjualan!$M$2:$M$61,Data_Penjualan!$B$2:$B$61,"&gt;="&amp;B34,Data_Penjualan!$B$2:$B$61,"&lt;"&amp;EDATE(B34,1))</f>
        <v>19800000</v>
      </c>
      <c r="D34" s="31">
        <f>COUNTIFS(Data_Penjualan!$B$2:$B$61,"&gt;="&amp;B34,Data_Penjualan!$B$2:$B$61,"&lt;"&amp;EDATE(B34,1))</f>
        <v>3</v>
      </c>
    </row>
    <row r="35" spans="1:4" x14ac:dyDescent="0.3">
      <c r="A35" s="29" t="s">
        <v>784</v>
      </c>
      <c r="B35" s="30">
        <f>DATE(2026,5,1)</f>
        <v>46143</v>
      </c>
      <c r="C35" s="33">
        <f>SUMIFS(Data_Penjualan!$M$2:$M$61,Data_Penjualan!$B$2:$B$61,"&gt;="&amp;B35,Data_Penjualan!$B$2:$B$61,"&lt;"&amp;EDATE(B35,1))</f>
        <v>5525000</v>
      </c>
      <c r="D35" s="31">
        <f>COUNTIFS(Data_Penjualan!$B$2:$B$61,"&gt;="&amp;B35,Data_Penjualan!$B$2:$B$61,"&lt;"&amp;EDATE(B35,1))</f>
        <v>3</v>
      </c>
    </row>
    <row r="36" spans="1:4" x14ac:dyDescent="0.3">
      <c r="A36" s="29" t="s">
        <v>785</v>
      </c>
      <c r="B36" s="30">
        <f>DATE(2026,6,1)</f>
        <v>46174</v>
      </c>
      <c r="C36" s="33">
        <f>SUMIFS(Data_Penjualan!$M$2:$M$61,Data_Penjualan!$B$2:$B$61,"&gt;="&amp;B36,Data_Penjualan!$B$2:$B$61,"&lt;"&amp;EDATE(B36,1))</f>
        <v>64098000</v>
      </c>
      <c r="D36" s="31">
        <f>COUNTIFS(Data_Penjualan!$B$2:$B$61,"&gt;="&amp;B36,Data_Penjualan!$B$2:$B$61,"&lt;"&amp;EDATE(B36,1))</f>
        <v>7</v>
      </c>
    </row>
    <row r="37" spans="1:4" x14ac:dyDescent="0.3">
      <c r="A37" s="29" t="s">
        <v>786</v>
      </c>
      <c r="B37" s="30">
        <f>DATE(2026,7,1)</f>
        <v>46204</v>
      </c>
      <c r="C37" s="33">
        <f>SUMIFS(Data_Penjualan!$M$2:$M$61,Data_Penjualan!$B$2:$B$61,"&gt;="&amp;B37,Data_Penjualan!$B$2:$B$61,"&lt;"&amp;EDATE(B37,1))</f>
        <v>61914000</v>
      </c>
      <c r="D37" s="31">
        <f>COUNTIFS(Data_Penjualan!$B$2:$B$61,"&gt;="&amp;B37,Data_Penjualan!$B$2:$B$61,"&lt;"&amp;EDATE(B37,1))</f>
        <v>8</v>
      </c>
    </row>
    <row r="38" spans="1:4" x14ac:dyDescent="0.3">
      <c r="A38" s="29" t="s">
        <v>787</v>
      </c>
      <c r="B38" s="30">
        <f>DATE(2026,8,1)</f>
        <v>46235</v>
      </c>
      <c r="C38" s="33">
        <f>SUMIFS(Data_Penjualan!$M$2:$M$61,Data_Penjualan!$B$2:$B$61,"&gt;="&amp;B38,Data_Penjualan!$B$2:$B$61,"&lt;"&amp;EDATE(B38,1))</f>
        <v>87255000</v>
      </c>
      <c r="D38" s="31">
        <f>COUNTIFS(Data_Penjualan!$B$2:$B$61,"&gt;="&amp;B38,Data_Penjualan!$B$2:$B$61,"&lt;"&amp;EDATE(B38,1))</f>
        <v>9</v>
      </c>
    </row>
    <row r="39" spans="1:4" x14ac:dyDescent="0.3">
      <c r="A39" s="29" t="s">
        <v>788</v>
      </c>
      <c r="B39" s="30">
        <f>DATE(2026,9,1)</f>
        <v>46266</v>
      </c>
      <c r="C39" s="33">
        <f>SUMIFS(Data_Penjualan!$M$2:$M$61,Data_Penjualan!$B$2:$B$61,"&gt;="&amp;B39,Data_Penjualan!$B$2:$B$61,"&lt;"&amp;EDATE(B39,1))</f>
        <v>73913750</v>
      </c>
      <c r="D39" s="31">
        <f>COUNTIFS(Data_Penjualan!$B$2:$B$61,"&gt;="&amp;B39,Data_Penjualan!$B$2:$B$61,"&lt;"&amp;EDATE(B39,1))</f>
        <v>12</v>
      </c>
    </row>
    <row r="40" spans="1:4" x14ac:dyDescent="0.3">
      <c r="A40" s="35" t="s">
        <v>773</v>
      </c>
      <c r="B40" s="52"/>
      <c r="C40" s="49">
        <f>SUM(C31:C39)</f>
        <v>434588750</v>
      </c>
      <c r="D40" s="50">
        <f>SUM(D31:D39)</f>
        <v>60</v>
      </c>
    </row>
    <row r="42" spans="1:4" x14ac:dyDescent="0.3">
      <c r="A42" s="47" t="s">
        <v>789</v>
      </c>
    </row>
    <row r="43" spans="1:4" x14ac:dyDescent="0.3">
      <c r="A43" s="13" t="s">
        <v>236</v>
      </c>
      <c r="B43" s="13" t="s">
        <v>242</v>
      </c>
      <c r="C43" s="13" t="s">
        <v>790</v>
      </c>
      <c r="D43" s="13" t="s">
        <v>791</v>
      </c>
    </row>
    <row r="44" spans="1:4" x14ac:dyDescent="0.3">
      <c r="A44" s="29" t="s">
        <v>265</v>
      </c>
      <c r="B44" s="33">
        <f>SUMIFS(Data_Penjualan!$M$2:$M$61,Data_Penjualan!$G$2:$G$61,A44)</f>
        <v>57707000</v>
      </c>
      <c r="C44" s="33">
        <f>HLOOKUP(A44,Target_Region!$A$1:$F$4,2,FALSE())</f>
        <v>75000000</v>
      </c>
      <c r="D44" s="48">
        <f t="shared" ref="D44:D49" si="0">B44/C44</f>
        <v>0.7694266666666667</v>
      </c>
    </row>
    <row r="45" spans="1:4" x14ac:dyDescent="0.3">
      <c r="A45" s="29" t="s">
        <v>292</v>
      </c>
      <c r="B45" s="33">
        <f>SUMIFS(Data_Penjualan!$M$2:$M$61,Data_Penjualan!$G$2:$G$61,A45)</f>
        <v>67883750</v>
      </c>
      <c r="C45" s="33">
        <f>HLOOKUP(A45,Target_Region!$A$1:$F$4,2,FALSE())</f>
        <v>60000000</v>
      </c>
      <c r="D45" s="48">
        <f t="shared" si="0"/>
        <v>1.1313958333333334</v>
      </c>
    </row>
    <row r="46" spans="1:4" x14ac:dyDescent="0.3">
      <c r="A46" s="29" t="s">
        <v>272</v>
      </c>
      <c r="B46" s="33">
        <f>SUMIFS(Data_Penjualan!$M$2:$M$61,Data_Penjualan!$G$2:$G$61,A46)</f>
        <v>106788000</v>
      </c>
      <c r="C46" s="33">
        <f>HLOOKUP(A46,Target_Region!$A$1:$F$4,2,FALSE())</f>
        <v>100000000</v>
      </c>
      <c r="D46" s="48">
        <f t="shared" si="0"/>
        <v>1.0678799999999999</v>
      </c>
    </row>
    <row r="47" spans="1:4" x14ac:dyDescent="0.3">
      <c r="A47" s="29" t="s">
        <v>253</v>
      </c>
      <c r="B47" s="33">
        <f>SUMIFS(Data_Penjualan!$M$2:$M$61,Data_Penjualan!$G$2:$G$61,A47)</f>
        <v>47790000</v>
      </c>
      <c r="C47" s="33">
        <f>HLOOKUP(A47,Target_Region!$A$1:$F$4,2,FALSE())</f>
        <v>55000000</v>
      </c>
      <c r="D47" s="48">
        <f t="shared" si="0"/>
        <v>0.86890909090909096</v>
      </c>
    </row>
    <row r="48" spans="1:4" x14ac:dyDescent="0.3">
      <c r="A48" s="29" t="s">
        <v>259</v>
      </c>
      <c r="B48" s="33">
        <f>SUMIFS(Data_Penjualan!$M$2:$M$61,Data_Penjualan!$G$2:$G$61,A48)</f>
        <v>154420000</v>
      </c>
      <c r="C48" s="33">
        <f>HLOOKUP(A48,Target_Region!$A$1:$F$4,2,FALSE())</f>
        <v>140000000</v>
      </c>
      <c r="D48" s="48">
        <f t="shared" si="0"/>
        <v>1.103</v>
      </c>
    </row>
    <row r="49" spans="1:4" x14ac:dyDescent="0.3">
      <c r="A49" s="35" t="s">
        <v>773</v>
      </c>
      <c r="B49" s="49">
        <f>SUM(B44:B48)</f>
        <v>434588750</v>
      </c>
      <c r="C49" s="49">
        <f>SUM(C44:C48)</f>
        <v>430000000</v>
      </c>
      <c r="D49" s="51">
        <f t="shared" si="0"/>
        <v>1.010671511627907</v>
      </c>
    </row>
  </sheetData>
  <pageMargins left="0.75" right="0.75" top="1" bottom="1" header="0.511811023622047" footer="0.511811023622047"/>
  <pageSetup fitToHeight="0" orientation="landscape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Panduan</vt:lpstr>
      <vt:lpstr>Penjelasan_Fungsi</vt:lpstr>
      <vt:lpstr>Data_Penjualan</vt:lpstr>
      <vt:lpstr>Master_Produk</vt:lpstr>
      <vt:lpstr>Target_Region</vt:lpstr>
      <vt:lpstr>Data_Karyawan</vt:lpstr>
      <vt:lpstr>Latihan</vt:lpstr>
      <vt:lpstr>Kunci_Jawaban</vt:lpstr>
      <vt:lpstr>Kunci_Kolom_Penjualan</vt:lpstr>
      <vt:lpstr>Kunci_Kolom_Karyawan</vt:lpstr>
      <vt:lpstr>Kunci_Pivot_Chart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Raja rahim</cp:lastModifiedBy>
  <cp:revision>1</cp:revision>
  <dcterms:created xsi:type="dcterms:W3CDTF">2026-10-26T06:15:31Z</dcterms:created>
  <dcterms:modified xsi:type="dcterms:W3CDTF">2026-10-26T06:38:40Z</dcterms:modified>
  <dc:language>en-US</dc:language>
</cp:coreProperties>
</file>